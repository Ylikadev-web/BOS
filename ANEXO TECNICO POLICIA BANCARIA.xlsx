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920" yWindow="5490" windowWidth="51840" windowHeight="21120" tabRatio="600" firstSheet="0" activeTab="0" autoFilterDateGrouping="1"/>
  </bookViews>
  <sheets>
    <sheet name="GPO 1 MAT ELECTRICO Y ELECTRONI" sheetId="1" state="visible" r:id="rId1"/>
    <sheet name="GPO 2 MATERIALES Y ART DE CONS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_-&quot;$&quot;* #,##0.00_-;\-&quot;$&quot;* #,##0.00_-;_-&quot;$&quot;* &quot;-&quot;??_-;_-@_-"/>
    <numFmt numFmtId="166" formatCode="&quot;$&quot;#,##0.00"/>
  </numFmts>
  <fonts count="14">
    <font>
      <name val="Aptos Narrow"/>
      <family val="2"/>
      <color theme="1"/>
      <sz val="11"/>
      <scheme val="minor"/>
    </font>
    <font>
      <name val="Arial Narrow"/>
      <family val="2"/>
      <color theme="1"/>
      <sz val="10"/>
    </font>
    <font>
      <name val="Arial Narrow"/>
      <family val="2"/>
      <b val="1"/>
      <color rgb="FF404040"/>
      <sz val="10"/>
    </font>
    <font>
      <name val="Arial Narrow"/>
      <family val="2"/>
      <b val="1"/>
      <color theme="1"/>
      <sz val="10"/>
    </font>
    <font>
      <name val="Arial Narrow"/>
      <family val="2"/>
      <b val="1"/>
      <color rgb="FF000000"/>
      <sz val="10"/>
    </font>
    <font>
      <name val="Arial Narrow"/>
      <family val="2"/>
      <color rgb="FF000000"/>
      <sz val="10"/>
    </font>
    <font>
      <name val="Arial Narrow"/>
      <family val="2"/>
      <color indexed="63"/>
      <sz val="7"/>
    </font>
    <font>
      <name val="Source Sans Pro"/>
      <family val="2"/>
      <color indexed="63"/>
      <sz val="8"/>
    </font>
    <font>
      <name val="Arial Narrow"/>
      <family val="2"/>
      <b val="1"/>
      <color indexed="63"/>
      <sz val="6"/>
    </font>
    <font>
      <name val="Aptos Narrow"/>
      <family val="2"/>
      <color theme="1"/>
      <sz val="11"/>
      <scheme val="minor"/>
    </font>
    <font>
      <name val="Arial Narrow"/>
      <family val="2"/>
      <color indexed="63"/>
      <sz val="10"/>
    </font>
    <font>
      <name val="Arial Narrow"/>
      <family val="2"/>
      <color indexed="8"/>
      <sz val="10"/>
    </font>
    <font>
      <name val="Arial Narrow"/>
      <family val="2"/>
      <color indexed="63"/>
      <sz val="7"/>
    </font>
    <font>
      <name val="Source Sans Pro"/>
      <charset val="134"/>
      <color indexed="63"/>
      <sz val="8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9" fillId="0" borderId="0"/>
    <xf numFmtId="44" fontId="9" fillId="0" borderId="0"/>
  </cellStyleXfs>
  <cellXfs count="7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0" borderId="1" pivotButton="0" quotePrefix="0" xfId="0"/>
    <xf numFmtId="164" fontId="7" fillId="0" borderId="3" applyAlignment="1" pivotButton="0" quotePrefix="0" xfId="0">
      <alignment horizontal="center" vertical="center" wrapText="1"/>
    </xf>
    <xf numFmtId="164" fontId="7" fillId="0" borderId="4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justify" vertical="center" wrapText="1"/>
    </xf>
    <xf numFmtId="164" fontId="7" fillId="0" borderId="4" applyAlignment="1" pivotButton="0" quotePrefix="0" xfId="0">
      <alignment horizontal="justify" vertical="center" wrapText="1"/>
    </xf>
    <xf numFmtId="164" fontId="8" fillId="0" borderId="3" applyAlignment="1" pivotButton="0" quotePrefix="0" xfId="0">
      <alignment horizontal="center" vertical="center" wrapText="1"/>
    </xf>
    <xf numFmtId="164" fontId="7" fillId="0" borderId="3" applyAlignment="1" pivotButton="0" quotePrefix="0" xfId="0">
      <alignment vertical="top" wrapText="1"/>
    </xf>
    <xf numFmtId="164" fontId="7" fillId="2" borderId="3" applyAlignment="1" pivotButton="0" quotePrefix="0" xfId="0">
      <alignment horizontal="center" vertical="center" wrapText="1"/>
    </xf>
    <xf numFmtId="164" fontId="7" fillId="2" borderId="3" applyAlignment="1" pivotButton="0" quotePrefix="0" xfId="0">
      <alignment horizontal="justify" vertical="center" wrapText="1"/>
    </xf>
    <xf numFmtId="165" fontId="7" fillId="2" borderId="3" applyAlignment="1" pivotButton="0" quotePrefix="0" xfId="0">
      <alignment horizontal="justify" vertical="center" wrapText="1"/>
    </xf>
    <xf numFmtId="165" fontId="7" fillId="2" borderId="3" applyAlignment="1" pivotButton="0" quotePrefix="0" xfId="0">
      <alignment vertical="top" wrapText="1"/>
    </xf>
    <xf numFmtId="0" fontId="1" fillId="3" borderId="0" pivotButton="0" quotePrefix="0" xfId="0"/>
    <xf numFmtId="0" fontId="11" fillId="0" borderId="2" applyAlignment="1" pivotButton="0" quotePrefix="0" xfId="0">
      <alignment horizontal="center" vertical="center" wrapText="1"/>
    </xf>
    <xf numFmtId="165" fontId="11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justify" vertical="center" wrapText="1"/>
    </xf>
    <xf numFmtId="164" fontId="12" fillId="0" borderId="0" applyAlignment="1" pivotButton="0" quotePrefix="0" xfId="0">
      <alignment horizontal="justify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164" fontId="10" fillId="3" borderId="2" applyAlignment="1" pivotButton="0" quotePrefix="0" xfId="0">
      <alignment horizontal="justify" vertical="center" wrapText="1"/>
    </xf>
    <xf numFmtId="0" fontId="1" fillId="3" borderId="2" pivotButton="0" quotePrefix="0" xfId="0"/>
    <xf numFmtId="0" fontId="1" fillId="0" borderId="2" pivotButton="0" quotePrefix="0" xfId="0"/>
    <xf numFmtId="164" fontId="12" fillId="0" borderId="2" applyAlignment="1" pivotButton="0" quotePrefix="0" xfId="0">
      <alignment horizontal="justify" vertical="center" wrapText="1"/>
    </xf>
    <xf numFmtId="165" fontId="11" fillId="0" borderId="2" pivotButton="0" quotePrefix="0" xfId="0"/>
    <xf numFmtId="0" fontId="12" fillId="0" borderId="2" applyAlignment="1" pivotButton="0" quotePrefix="0" xfId="0">
      <alignment horizontal="justify" vertical="center" wrapText="1"/>
    </xf>
    <xf numFmtId="165" fontId="1" fillId="3" borderId="2" pivotButton="0" quotePrefix="0" xfId="1"/>
    <xf numFmtId="165" fontId="10" fillId="3" borderId="2" applyAlignment="1" pivotButton="0" quotePrefix="0" xfId="1">
      <alignment horizontal="justify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4" fillId="2" borderId="5" applyAlignment="1" pivotButton="0" quotePrefix="0" xfId="0">
      <alignment horizontal="center" vertical="center" wrapText="1"/>
    </xf>
    <xf numFmtId="164" fontId="13" fillId="0" borderId="4" applyAlignment="1" pivotButton="0" quotePrefix="0" xfId="0">
      <alignment horizontal="center" vertical="center" wrapText="1"/>
    </xf>
    <xf numFmtId="164" fontId="13" fillId="0" borderId="3" applyAlignment="1" pivotButton="0" quotePrefix="0" xfId="0">
      <alignment horizontal="justify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164" fontId="12" fillId="0" borderId="2" applyAlignment="1" pivotButton="0" quotePrefix="0" xfId="0">
      <alignment horizontal="justify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 wrapText="1"/>
    </xf>
    <xf numFmtId="0" fontId="1" fillId="0" borderId="5" pivotButton="0" quotePrefix="0" xfId="0"/>
    <xf numFmtId="0" fontId="1" fillId="0" borderId="8" applyAlignment="1" pivotButton="0" quotePrefix="0" xfId="0">
      <alignment horizontal="center" vertical="center" wrapText="1"/>
    </xf>
    <xf numFmtId="0" fontId="1" fillId="0" borderId="6" applyAlignment="1" pivotButton="0" quotePrefix="0" xfId="0">
      <alignment vertical="center" wrapText="1"/>
    </xf>
    <xf numFmtId="164" fontId="7" fillId="0" borderId="9" applyAlignment="1" pivotButton="0" quotePrefix="0" xfId="0">
      <alignment horizontal="justify" vertical="center" wrapText="1"/>
    </xf>
    <xf numFmtId="164" fontId="13" fillId="0" borderId="0" applyAlignment="1" pivotButton="0" quotePrefix="0" xfId="0">
      <alignment horizontal="center" vertical="center" wrapText="1"/>
    </xf>
    <xf numFmtId="164" fontId="7" fillId="0" borderId="5" applyAlignment="1" pivotButton="0" quotePrefix="0" xfId="0">
      <alignment vertical="center" wrapText="1"/>
    </xf>
    <xf numFmtId="164" fontId="13" fillId="0" borderId="5" applyAlignment="1" pivotButton="0" quotePrefix="0" xfId="0">
      <alignment horizontal="center" vertical="center" wrapText="1"/>
    </xf>
    <xf numFmtId="166" fontId="1" fillId="0" borderId="1" pivotButton="0" quotePrefix="0" xfId="0"/>
    <xf numFmtId="165" fontId="7" fillId="2" borderId="3" applyAlignment="1" pivotButton="0" quotePrefix="0" xfId="0">
      <alignment horizontal="justify" vertical="center" wrapText="1"/>
    </xf>
    <xf numFmtId="165" fontId="7" fillId="2" borderId="3" applyAlignment="1" pivotButton="0" quotePrefix="0" xfId="0">
      <alignment vertical="top" wrapText="1"/>
    </xf>
    <xf numFmtId="0" fontId="4" fillId="3" borderId="5" applyAlignment="1" pivotButton="0" quotePrefix="0" xfId="0">
      <alignment horizontal="center" vertical="center" wrapText="1"/>
    </xf>
    <xf numFmtId="165" fontId="10" fillId="3" borderId="2" applyAlignment="1" pivotButton="0" quotePrefix="0" xfId="1">
      <alignment horizontal="justify" vertical="center" wrapText="1"/>
    </xf>
    <xf numFmtId="0" fontId="0" fillId="0" borderId="7" pivotButton="0" quotePrefix="0" xfId="0"/>
    <xf numFmtId="165" fontId="11" fillId="0" borderId="2" pivotButton="0" quotePrefix="0" xfId="0"/>
    <xf numFmtId="165" fontId="1" fillId="3" borderId="2" pivotButton="0" quotePrefix="0" xfId="1"/>
    <xf numFmtId="164" fontId="12" fillId="0" borderId="5" applyAlignment="1" pivotButton="0" quotePrefix="0" xfId="0">
      <alignment horizontal="justify" vertical="center" wrapText="1"/>
    </xf>
    <xf numFmtId="0" fontId="0" fillId="0" borderId="8" pivotButton="0" quotePrefix="0" xfId="0"/>
    <xf numFmtId="165" fontId="11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tabSelected="1" topLeftCell="A31" zoomScale="130" zoomScaleNormal="130" workbookViewId="0">
      <selection activeCell="G22" sqref="G22"/>
    </sheetView>
  </sheetViews>
  <sheetFormatPr baseColWidth="10" defaultColWidth="11.3984375" defaultRowHeight="12.75"/>
  <cols>
    <col width="13.86328125" customWidth="1" style="6" min="1" max="1"/>
    <col width="62.6640625" customWidth="1" style="6" min="2" max="2"/>
    <col width="9.86328125" customWidth="1" style="6" min="3" max="3"/>
    <col width="14" bestFit="1" customWidth="1" style="6" min="4" max="4"/>
    <col width="11.3984375" customWidth="1" style="6" min="5" max="6"/>
    <col width="9.1328125" customWidth="1" style="6" min="7" max="7"/>
    <col width="11.3984375" customWidth="1" style="6" min="8" max="16384"/>
  </cols>
  <sheetData>
    <row r="1" ht="38.65" customHeight="1">
      <c r="A1" s="3" t="inlineStr">
        <is>
          <t>CONSECUTIVO</t>
        </is>
      </c>
      <c r="B1" s="4" t="inlineStr">
        <is>
          <t>DESCRIPCIÓN DE LOS BIENES (INCLUYENDO DATOS TÉCNICOS)</t>
        </is>
      </c>
      <c r="C1" s="3" t="inlineStr">
        <is>
          <t>CANTIDAD</t>
        </is>
      </c>
      <c r="D1" s="3" t="inlineStr">
        <is>
          <t>UNIDAD DE MEDIDA</t>
        </is>
      </c>
      <c r="E1" s="5" t="inlineStr">
        <is>
          <t>PAÍS DE ORIGEN</t>
        </is>
      </c>
      <c r="F1" s="5" t="inlineStr">
        <is>
          <t>GRADO DE INTEGRACIÓN NACIONAL</t>
        </is>
      </c>
      <c r="G1" s="43" t="inlineStr">
        <is>
          <t>MARCA</t>
        </is>
      </c>
      <c r="H1" s="5" t="inlineStr">
        <is>
          <t>MODELO</t>
        </is>
      </c>
      <c r="I1" s="5" t="inlineStr">
        <is>
          <t>PRECIO PROVEEDOR PEFSA</t>
        </is>
      </c>
      <c r="J1" s="5" t="inlineStr">
        <is>
          <t>PRECIO PROVEEDOR PHILCO</t>
        </is>
      </c>
      <c r="K1" s="43" t="inlineStr">
        <is>
          <t>PRECIO PROVEEDOR FMP</t>
        </is>
      </c>
      <c r="L1" s="43" t="inlineStr">
        <is>
          <t>PRECIO PROVEEDOR HOME DEPOT</t>
        </is>
      </c>
      <c r="M1" s="5" t="inlineStr">
        <is>
          <t>PRECIO MONE</t>
        </is>
      </c>
      <c r="N1" s="43" t="inlineStr">
        <is>
          <t xml:space="preserve">Proveedor seleccionado </t>
        </is>
      </c>
    </row>
    <row r="2" ht="13.15" customHeight="1" thickBot="1">
      <c r="A2" s="1" t="n">
        <v>1</v>
      </c>
      <c r="B2" s="2" t="inlineStr">
        <is>
          <t>ACRÍLICO PLANO DE 1.22 X 30 CM. DE 3 MM DE ESPESOR.</t>
        </is>
      </c>
      <c r="C2" s="1" t="n">
        <v>1</v>
      </c>
      <c r="D2" s="1" t="inlineStr">
        <is>
          <t>PIEZA</t>
        </is>
      </c>
      <c r="E2" s="1" t="inlineStr">
        <is>
          <t>CHINA</t>
        </is>
      </c>
      <c r="F2" s="1" t="n">
        <v>0</v>
      </c>
      <c r="G2" s="46" t="n"/>
      <c r="H2" s="1" t="n"/>
      <c r="I2" s="8" t="n"/>
      <c r="J2" s="14" t="n"/>
      <c r="K2" s="44" t="n"/>
      <c r="L2" s="44" t="n">
        <v>719</v>
      </c>
      <c r="M2" s="59" t="n">
        <v>719</v>
      </c>
      <c r="N2" t="inlineStr">
        <is>
          <t>home depot</t>
        </is>
      </c>
    </row>
    <row r="3" ht="13.15" customHeight="1" thickBot="1">
      <c r="A3" s="1" t="n">
        <v>2</v>
      </c>
      <c r="B3" s="2" t="inlineStr">
        <is>
          <t>ACRÍLICO PLANO DE 1.22 X 60 CM. DE 3 MM DE ESPESOR.</t>
        </is>
      </c>
      <c r="C3" s="1" t="n">
        <v>1</v>
      </c>
      <c r="D3" s="1" t="inlineStr">
        <is>
          <t>PIEZA</t>
        </is>
      </c>
      <c r="E3" s="1" t="inlineStr">
        <is>
          <t>CHINA</t>
        </is>
      </c>
      <c r="F3" s="1" t="n">
        <v>0</v>
      </c>
      <c r="G3" s="46" t="n"/>
      <c r="H3" s="1" t="n"/>
      <c r="I3" s="8" t="n"/>
      <c r="J3" s="14" t="n"/>
      <c r="K3" s="44" t="n"/>
      <c r="L3" s="44" t="n">
        <v>719</v>
      </c>
      <c r="M3" s="59" t="n">
        <v>719</v>
      </c>
      <c r="N3" t="inlineStr">
        <is>
          <t>home depot</t>
        </is>
      </c>
    </row>
    <row r="4" ht="25.9" customHeight="1" thickBot="1">
      <c r="A4" s="1" t="n">
        <v>3</v>
      </c>
      <c r="B4" s="2" t="inlineStr">
        <is>
          <t>ALAMBRE Y CABLES CONDUCTORES (ALAMBRE THWN-2 CALIBRE 16, ROLLO DE 100 M)</t>
        </is>
      </c>
      <c r="C4" s="1" t="n">
        <v>1</v>
      </c>
      <c r="D4" s="1" t="inlineStr">
        <is>
          <t>ROLLO</t>
        </is>
      </c>
      <c r="E4" s="1" t="inlineStr">
        <is>
          <t>MEXICO</t>
        </is>
      </c>
      <c r="F4" s="1" t="n">
        <v>100</v>
      </c>
      <c r="G4" s="46" t="inlineStr">
        <is>
          <t>CONDUMEX</t>
        </is>
      </c>
      <c r="H4" s="1" t="n"/>
      <c r="I4" s="9" t="n">
        <v>620</v>
      </c>
      <c r="J4" s="8" t="n"/>
      <c r="K4" s="44" t="n"/>
      <c r="L4" s="44" t="n"/>
      <c r="M4" s="59" t="n">
        <v>620</v>
      </c>
      <c r="N4" t="inlineStr">
        <is>
          <t>pefsa</t>
        </is>
      </c>
    </row>
    <row r="5" ht="13.15" customHeight="1" thickBot="1">
      <c r="A5" s="1" t="n">
        <v>4</v>
      </c>
      <c r="B5" s="2" t="inlineStr">
        <is>
          <t>APAGADOR SENCILLO BLANCO LÍNEA 100 (INCLUYE PLACA, CAJA C/10 PIEZAS).</t>
        </is>
      </c>
      <c r="C5" s="1" t="n">
        <v>1</v>
      </c>
      <c r="D5" s="1" t="inlineStr">
        <is>
          <t>CAJA</t>
        </is>
      </c>
      <c r="E5" s="1" t="inlineStr">
        <is>
          <t>MEXICO</t>
        </is>
      </c>
      <c r="F5" s="1" t="n">
        <v>100</v>
      </c>
      <c r="G5" s="46" t="inlineStr">
        <is>
          <t>BTICINO</t>
        </is>
      </c>
      <c r="H5" s="1" t="n"/>
      <c r="I5" s="8" t="n">
        <v>766</v>
      </c>
      <c r="J5" s="8" t="n">
        <v>16.47</v>
      </c>
      <c r="K5" s="44" t="n"/>
      <c r="L5" s="44" t="n"/>
      <c r="M5" s="59" t="n">
        <v>766</v>
      </c>
      <c r="N5" t="inlineStr">
        <is>
          <t>pefsa</t>
        </is>
      </c>
    </row>
    <row r="6" ht="13.15" customHeight="1" thickBot="1">
      <c r="A6" s="1" t="n">
        <v>5</v>
      </c>
      <c r="B6" s="2" t="inlineStr">
        <is>
          <t>APAGADOR DOBLE BLANCO LÍNEA 100 (INCLUYE PLACA, CAJA C/10 PIEZAS).</t>
        </is>
      </c>
      <c r="C6" s="1" t="n">
        <v>1</v>
      </c>
      <c r="D6" s="1" t="inlineStr">
        <is>
          <t>CAJA</t>
        </is>
      </c>
      <c r="E6" s="1" t="inlineStr">
        <is>
          <t>MEXICO</t>
        </is>
      </c>
      <c r="F6" s="1" t="n">
        <v>100</v>
      </c>
      <c r="G6" s="46" t="inlineStr">
        <is>
          <t>BTICINO</t>
        </is>
      </c>
      <c r="H6" s="1" t="n"/>
      <c r="I6" s="8" t="n">
        <v>1158</v>
      </c>
      <c r="J6" s="8">
        <f>16.47+12.75</f>
        <v/>
      </c>
      <c r="K6" s="44" t="n"/>
      <c r="L6" s="44" t="n"/>
      <c r="M6" s="59" t="n">
        <v>1158</v>
      </c>
      <c r="N6" t="inlineStr">
        <is>
          <t>pefsa</t>
        </is>
      </c>
    </row>
    <row r="7" ht="13.15" customHeight="1" thickBot="1">
      <c r="A7" s="1" t="n">
        <v>6</v>
      </c>
      <c r="B7" s="2" t="inlineStr">
        <is>
          <t>APAGADOR DOBLE CON CONTACTO (INCLUYE PLACA, CAJA C/10 PIEZAS)</t>
        </is>
      </c>
      <c r="C7" s="1" t="n">
        <v>1</v>
      </c>
      <c r="D7" s="1" t="inlineStr">
        <is>
          <t>CAJA</t>
        </is>
      </c>
      <c r="E7" s="1" t="inlineStr">
        <is>
          <t>MEXICO</t>
        </is>
      </c>
      <c r="F7" s="1" t="n">
        <v>100</v>
      </c>
      <c r="G7" s="46" t="inlineStr">
        <is>
          <t>BTICINO</t>
        </is>
      </c>
      <c r="H7" s="1" t="n"/>
      <c r="I7" s="8" t="n">
        <v>1664</v>
      </c>
      <c r="J7" s="8">
        <f>28.5+12.75</f>
        <v/>
      </c>
      <c r="K7" s="44" t="n"/>
      <c r="L7" s="44" t="n"/>
      <c r="M7" s="59" t="n">
        <v>1664</v>
      </c>
      <c r="N7" t="inlineStr">
        <is>
          <t>pefsa</t>
        </is>
      </c>
    </row>
    <row r="8" ht="13.15" customHeight="1" thickBot="1">
      <c r="A8" s="1" t="n">
        <v>7</v>
      </c>
      <c r="B8" s="2" t="inlineStr">
        <is>
          <t>APAGADOR ESCALERA BLANCO LÍNEA 100 (INCLUYE PLACA, CAJA C/10 PIEZAS).</t>
        </is>
      </c>
      <c r="C8" s="1" t="n">
        <v>1</v>
      </c>
      <c r="D8" s="1" t="inlineStr">
        <is>
          <t>CAJA</t>
        </is>
      </c>
      <c r="E8" s="1" t="inlineStr">
        <is>
          <t>MEXICO</t>
        </is>
      </c>
      <c r="F8" s="1" t="n">
        <v>100</v>
      </c>
      <c r="G8" s="46" t="inlineStr">
        <is>
          <t>BTICINO</t>
        </is>
      </c>
      <c r="H8" s="1" t="n"/>
      <c r="I8" s="8" t="n">
        <v>857</v>
      </c>
      <c r="J8" s="8">
        <f>7.41+14.11+(2*(12.5))</f>
        <v/>
      </c>
      <c r="K8" s="44" t="n"/>
      <c r="L8" s="44" t="n"/>
      <c r="M8" s="59" t="n">
        <v>857</v>
      </c>
      <c r="N8" t="inlineStr">
        <is>
          <t>pefsa</t>
        </is>
      </c>
    </row>
    <row r="9" ht="13.15" customHeight="1" thickBot="1">
      <c r="A9" s="1" t="n">
        <v>8</v>
      </c>
      <c r="B9" s="2" t="inlineStr">
        <is>
          <t>APAGADOR CON CONTACTO (INCLUYE PLACA, CAJA C/10 PIEZAS).</t>
        </is>
      </c>
      <c r="C9" s="1" t="n">
        <v>1</v>
      </c>
      <c r="D9" s="1" t="inlineStr">
        <is>
          <t>CAJA</t>
        </is>
      </c>
      <c r="E9" s="1" t="inlineStr">
        <is>
          <t>MEXICO</t>
        </is>
      </c>
      <c r="F9" s="1" t="n">
        <v>100</v>
      </c>
      <c r="G9" s="46" t="inlineStr">
        <is>
          <t>BTICINO</t>
        </is>
      </c>
      <c r="H9" s="1" t="n"/>
      <c r="I9" s="8" t="n">
        <v>1272</v>
      </c>
      <c r="J9" s="8" t="n">
        <v>28.5</v>
      </c>
      <c r="K9" s="44" t="n"/>
      <c r="L9" s="44" t="n"/>
      <c r="M9" s="59" t="n">
        <v>1272</v>
      </c>
      <c r="N9" t="inlineStr">
        <is>
          <t>pefsa</t>
        </is>
      </c>
    </row>
    <row r="10" ht="13.15" customHeight="1" thickBot="1">
      <c r="A10" s="1" t="n">
        <v>9</v>
      </c>
      <c r="B10" s="2" t="inlineStr">
        <is>
          <t>APAGADOR TRIPLE (INCLUYE PLACA, CAJA C/10 PIEZAS)</t>
        </is>
      </c>
      <c r="C10" s="1" t="n">
        <v>1</v>
      </c>
      <c r="D10" s="1" t="inlineStr">
        <is>
          <t>CAJA</t>
        </is>
      </c>
      <c r="E10" s="1" t="inlineStr">
        <is>
          <t>MEXICO</t>
        </is>
      </c>
      <c r="F10" s="1" t="n">
        <v>100</v>
      </c>
      <c r="G10" s="46" t="inlineStr">
        <is>
          <t>BTICINO</t>
        </is>
      </c>
      <c r="H10" s="1" t="n"/>
      <c r="I10" s="8" t="n">
        <v>1550</v>
      </c>
      <c r="J10" s="8" t="n">
        <v>43.5</v>
      </c>
      <c r="K10" s="44" t="n"/>
      <c r="L10" s="44" t="n"/>
      <c r="M10" s="59" t="n">
        <v>1550</v>
      </c>
      <c r="N10" t="inlineStr">
        <is>
          <t>pefsa</t>
        </is>
      </c>
    </row>
    <row r="11" ht="13.15" customHeight="1" thickBot="1">
      <c r="A11" s="1" t="n">
        <v>10</v>
      </c>
      <c r="B11" s="2" t="inlineStr">
        <is>
          <t>BASE PARA TUBO T5 DE LED. C/100 PIEZAS.</t>
        </is>
      </c>
      <c r="C11" s="1" t="n">
        <v>1</v>
      </c>
      <c r="D11" s="1" t="inlineStr">
        <is>
          <t>PAQUETE</t>
        </is>
      </c>
      <c r="E11" s="1" t="inlineStr">
        <is>
          <t>MEXICO</t>
        </is>
      </c>
      <c r="F11" s="1" t="n">
        <v>100</v>
      </c>
      <c r="G11" s="46" t="n"/>
      <c r="H11" s="1" t="n"/>
      <c r="I11" s="8" t="n">
        <v>350</v>
      </c>
      <c r="J11" s="8" t="n"/>
      <c r="K11" s="44" t="n"/>
      <c r="L11" s="44" t="n"/>
      <c r="M11" s="59" t="n">
        <v>350</v>
      </c>
      <c r="N11" t="inlineStr">
        <is>
          <t>pefsa</t>
        </is>
      </c>
    </row>
    <row r="12" ht="13.15" customHeight="1" thickBot="1">
      <c r="A12" s="1" t="n">
        <v>11</v>
      </c>
      <c r="B12" s="2" t="inlineStr">
        <is>
          <t>BASE PARA TUBO T8 DE LED. C/100 PIEZAS.</t>
        </is>
      </c>
      <c r="C12" s="1" t="n">
        <v>1</v>
      </c>
      <c r="D12" s="1" t="inlineStr">
        <is>
          <t>PAQUETE</t>
        </is>
      </c>
      <c r="E12" s="1" t="inlineStr">
        <is>
          <t>MEXICO</t>
        </is>
      </c>
      <c r="F12" s="1" t="n">
        <v>100</v>
      </c>
      <c r="G12" s="46" t="n"/>
      <c r="H12" s="1" t="n"/>
      <c r="I12" s="8" t="n">
        <v>310</v>
      </c>
      <c r="J12" s="8" t="n"/>
      <c r="K12" s="44" t="n"/>
      <c r="L12" s="44" t="n"/>
      <c r="M12" s="59" t="n">
        <v>310</v>
      </c>
      <c r="N12" t="inlineStr">
        <is>
          <t>pefsa</t>
        </is>
      </c>
    </row>
    <row r="13" ht="13.15" customHeight="1" thickBot="1">
      <c r="A13" s="1" t="n">
        <v>12</v>
      </c>
      <c r="B13" s="2" t="inlineStr">
        <is>
          <t>BASE ENCHUFE (PARA FOTO CELDA)</t>
        </is>
      </c>
      <c r="C13" s="1" t="n">
        <v>1</v>
      </c>
      <c r="D13" s="1" t="inlineStr">
        <is>
          <t>PIEZA</t>
        </is>
      </c>
      <c r="E13" s="1" t="inlineStr">
        <is>
          <t>MEXICO</t>
        </is>
      </c>
      <c r="F13" s="1" t="n">
        <v>100</v>
      </c>
      <c r="G13" s="46" t="inlineStr">
        <is>
          <t>PHILCO</t>
        </is>
      </c>
      <c r="H13" s="1" t="n"/>
      <c r="I13" s="8" t="n">
        <v>40</v>
      </c>
      <c r="J13" s="8" t="n">
        <v>33</v>
      </c>
      <c r="K13" s="44" t="n"/>
      <c r="L13" s="44" t="n"/>
      <c r="M13" s="59" t="n">
        <v>33</v>
      </c>
      <c r="N13" t="inlineStr">
        <is>
          <t>philco</t>
        </is>
      </c>
    </row>
    <row r="14" ht="13.15" customHeight="1" thickBot="1">
      <c r="A14" s="1" t="n">
        <v>13</v>
      </c>
      <c r="B14" s="2" t="inlineStr">
        <is>
          <t>CELDA FOTO ELÉCTRICA (FOTO CELDA)</t>
        </is>
      </c>
      <c r="C14" s="1" t="n">
        <v>1</v>
      </c>
      <c r="D14" s="1" t="inlineStr">
        <is>
          <t>PIEZA</t>
        </is>
      </c>
      <c r="E14" s="1" t="inlineStr">
        <is>
          <t>MEXICO</t>
        </is>
      </c>
      <c r="F14" s="1" t="n">
        <v>100</v>
      </c>
      <c r="G14" s="46" t="n"/>
      <c r="H14" s="1" t="n"/>
      <c r="I14" s="8" t="n">
        <v>68.59999999999999</v>
      </c>
      <c r="J14" s="8" t="n">
        <v>82.5</v>
      </c>
      <c r="K14" s="44" t="n"/>
      <c r="L14" s="44" t="n"/>
      <c r="M14" s="59" t="n">
        <v>68.59999999999999</v>
      </c>
      <c r="N14" t="inlineStr">
        <is>
          <t>pefsa</t>
        </is>
      </c>
    </row>
    <row r="15" ht="25.9" customHeight="1" thickBot="1">
      <c r="A15" s="1" t="n">
        <v>14</v>
      </c>
      <c r="B15" s="2" t="inlineStr">
        <is>
          <t>CAJA DE REGISTRO DE PVC (UNIVERSAL AUTO EXTINGUIBLE, BLANCO CAJA C/12 PIEZAS).</t>
        </is>
      </c>
      <c r="C15" s="1" t="n">
        <v>1</v>
      </c>
      <c r="D15" s="1" t="inlineStr">
        <is>
          <t>CAJA</t>
        </is>
      </c>
      <c r="E15" s="1" t="inlineStr">
        <is>
          <t>MEXICO</t>
        </is>
      </c>
      <c r="F15" s="1" t="n">
        <v>100</v>
      </c>
      <c r="G15" s="46" t="inlineStr">
        <is>
          <t>THORSMAN</t>
        </is>
      </c>
      <c r="H15" s="1" t="n"/>
      <c r="I15" s="9" t="n"/>
      <c r="J15" s="8" t="n"/>
      <c r="K15" s="44" t="n"/>
      <c r="L15" s="44" t="n">
        <v>528</v>
      </c>
      <c r="M15" s="59" t="n">
        <v>528</v>
      </c>
      <c r="N15" t="inlineStr">
        <is>
          <t>home depot</t>
        </is>
      </c>
    </row>
    <row r="16" ht="25.9" customHeight="1" thickBot="1">
      <c r="A16" s="1" t="n">
        <v>15</v>
      </c>
      <c r="B16" s="2" t="inlineStr">
        <is>
          <t>CENTRO DISTRIBUCIÓN DISPOSITIVOS TABLEROS ELÉCTRICOS Q02, (CENTRO DE CARGA).</t>
        </is>
      </c>
      <c r="C16" s="1" t="n">
        <v>1</v>
      </c>
      <c r="D16" s="1" t="inlineStr">
        <is>
          <t>PIEZA</t>
        </is>
      </c>
      <c r="E16" s="1" t="inlineStr">
        <is>
          <t>MEXICO</t>
        </is>
      </c>
      <c r="F16" s="1" t="n">
        <v>100</v>
      </c>
      <c r="G16" s="46" t="inlineStr">
        <is>
          <t>SQUARE D</t>
        </is>
      </c>
      <c r="H16" s="1" t="n"/>
      <c r="I16" s="8" t="n">
        <v>195.4</v>
      </c>
      <c r="J16" s="8" t="n"/>
      <c r="K16" s="44" t="n"/>
      <c r="L16" s="44" t="n"/>
      <c r="M16" s="59" t="n">
        <v>195.4</v>
      </c>
      <c r="N16" t="inlineStr">
        <is>
          <t>pefsa</t>
        </is>
      </c>
    </row>
    <row r="17" ht="25.9" customHeight="1" thickBot="1">
      <c r="A17" s="1" t="n">
        <v>16</v>
      </c>
      <c r="B17" s="2" t="inlineStr">
        <is>
          <t>CENTRO DISTRIBUCIÓN DISPOSITIVOS TABLEROS ELÉCTRICOS Q04, (CENTRO DE CARGA).</t>
        </is>
      </c>
      <c r="C17" s="1" t="n">
        <v>1</v>
      </c>
      <c r="D17" s="1" t="inlineStr">
        <is>
          <t>PIEZA</t>
        </is>
      </c>
      <c r="E17" s="1" t="inlineStr">
        <is>
          <t>MEXICO</t>
        </is>
      </c>
      <c r="F17" s="1" t="n">
        <v>100</v>
      </c>
      <c r="G17" s="46" t="inlineStr">
        <is>
          <t>SQUARE D</t>
        </is>
      </c>
      <c r="H17" s="1" t="n"/>
      <c r="I17" s="10" t="n">
        <v>382</v>
      </c>
      <c r="J17" s="8" t="n"/>
      <c r="K17" s="44" t="n"/>
      <c r="L17" s="44" t="n"/>
      <c r="M17" s="59" t="n">
        <v>382</v>
      </c>
      <c r="N17" t="inlineStr">
        <is>
          <t>pefsa</t>
        </is>
      </c>
    </row>
    <row r="18" ht="13.15" customHeight="1" thickBot="1">
      <c r="A18" s="1" t="n">
        <v>17</v>
      </c>
      <c r="B18" s="2" t="inlineStr">
        <is>
          <t>CHALUPA GALVANIZADA MEDIDA 2” X 4” (CAJA CON 24, VARIACIÓN +/- 10 %).</t>
        </is>
      </c>
      <c r="C18" s="1" t="n">
        <v>1</v>
      </c>
      <c r="D18" s="1" t="inlineStr">
        <is>
          <t>CAJA</t>
        </is>
      </c>
      <c r="E18" s="1" t="inlineStr">
        <is>
          <t>MEXICO</t>
        </is>
      </c>
      <c r="F18" s="1" t="n">
        <v>100</v>
      </c>
      <c r="G18" s="46" t="inlineStr">
        <is>
          <t>NACIONAL</t>
        </is>
      </c>
      <c r="H18" s="1" t="n"/>
      <c r="I18" s="10" t="n">
        <v>129.6</v>
      </c>
      <c r="J18" s="8" t="n"/>
      <c r="K18" s="44" t="n"/>
      <c r="L18" s="44" t="n"/>
      <c r="M18" s="59" t="n">
        <v>129.6</v>
      </c>
      <c r="N18" t="inlineStr">
        <is>
          <t>pefsa</t>
        </is>
      </c>
    </row>
    <row r="19" ht="25.9" customHeight="1" thickBot="1">
      <c r="A19" s="1" t="n">
        <v>18</v>
      </c>
      <c r="B19" s="2" t="inlineStr">
        <is>
          <t>CINTA DE AISLAR 19 MM CON 25 MTS. DE POLIPROPILENO ESPESOR DE 1 MM (CAJA C/10 PIEZAS).</t>
        </is>
      </c>
      <c r="C19" s="1" t="n">
        <v>1</v>
      </c>
      <c r="D19" s="1" t="inlineStr">
        <is>
          <t>CAJA</t>
        </is>
      </c>
      <c r="E19" s="1" t="inlineStr">
        <is>
          <t>MEXICO</t>
        </is>
      </c>
      <c r="F19" s="1" t="n">
        <v>100</v>
      </c>
      <c r="G19" s="46" t="inlineStr">
        <is>
          <t>3M</t>
        </is>
      </c>
      <c r="H19" s="1" t="n"/>
      <c r="I19" s="10" t="n">
        <v>86</v>
      </c>
      <c r="J19" s="8" t="n"/>
      <c r="K19" s="44" t="n"/>
      <c r="L19" s="44" t="n"/>
      <c r="M19" s="59" t="n">
        <v>86</v>
      </c>
      <c r="N19" t="inlineStr">
        <is>
          <t>pefsa</t>
        </is>
      </c>
    </row>
    <row r="20" ht="13.15" customHeight="1" thickBot="1">
      <c r="A20" s="1" t="n">
        <v>19</v>
      </c>
      <c r="B20" s="2" t="inlineStr">
        <is>
          <t>CONEXIÓN  CADWELD</t>
        </is>
      </c>
      <c r="C20" s="1" t="n">
        <v>1</v>
      </c>
      <c r="D20" s="1" t="inlineStr">
        <is>
          <t>JUEGO</t>
        </is>
      </c>
      <c r="E20" s="1" t="inlineStr">
        <is>
          <t>ESTADOS UNIDOS</t>
        </is>
      </c>
      <c r="F20" s="1" t="n">
        <v>25</v>
      </c>
      <c r="G20" s="46" t="inlineStr">
        <is>
          <t>nVENT ERICO</t>
        </is>
      </c>
      <c r="H20" s="1" t="n"/>
      <c r="I20" s="11" t="n"/>
      <c r="J20" s="8" t="n"/>
      <c r="K20" s="44" t="n"/>
      <c r="L20" s="44" t="n"/>
      <c r="M20" s="7" t="n"/>
    </row>
    <row r="21" ht="13.15" customHeight="1" thickBot="1">
      <c r="A21" s="1" t="n">
        <v>20</v>
      </c>
      <c r="B21" s="2" t="inlineStr">
        <is>
          <t>CONTACTO MULTIPLE (MULTI CONTACTO DE 6 PUERTOS)</t>
        </is>
      </c>
      <c r="C21" s="1" t="n">
        <v>1</v>
      </c>
      <c r="D21" s="1" t="inlineStr">
        <is>
          <t>PIEZA</t>
        </is>
      </c>
      <c r="E21" s="1" t="inlineStr">
        <is>
          <t>MEXICO</t>
        </is>
      </c>
      <c r="F21" s="1" t="n">
        <v>100</v>
      </c>
      <c r="G21" s="46" t="inlineStr">
        <is>
          <t>BTICINO</t>
        </is>
      </c>
      <c r="H21" s="1" t="n"/>
      <c r="I21" s="10" t="n">
        <v>89</v>
      </c>
      <c r="J21" s="10" t="n"/>
      <c r="K21" s="44" t="n"/>
      <c r="L21" s="44" t="n"/>
      <c r="M21" s="59" t="n">
        <v>89</v>
      </c>
      <c r="N21" t="inlineStr">
        <is>
          <t>pefsa</t>
        </is>
      </c>
    </row>
    <row r="22" ht="13.15" customHeight="1" thickBot="1">
      <c r="A22" s="1" t="n">
        <v>21</v>
      </c>
      <c r="B22" s="2" t="inlineStr">
        <is>
          <t>CONTACTO DÚPLEX POLARIZADO (CAJA C/10 PIEZAS).</t>
        </is>
      </c>
      <c r="C22" s="1" t="n">
        <v>1</v>
      </c>
      <c r="D22" s="1" t="inlineStr">
        <is>
          <t>CAJA</t>
        </is>
      </c>
      <c r="E22" s="1" t="inlineStr">
        <is>
          <t>MEXICO</t>
        </is>
      </c>
      <c r="F22" s="1" t="n">
        <v>100</v>
      </c>
      <c r="G22" s="46" t="inlineStr">
        <is>
          <t>BTICINO</t>
        </is>
      </c>
      <c r="H22" s="1" t="n"/>
      <c r="I22" s="10" t="n">
        <v>280</v>
      </c>
      <c r="J22" s="10" t="n"/>
      <c r="K22" s="44" t="n"/>
      <c r="L22" s="44" t="n"/>
      <c r="M22" s="59" t="n">
        <v>280</v>
      </c>
      <c r="N22" t="inlineStr">
        <is>
          <t>pefsa</t>
        </is>
      </c>
    </row>
    <row r="23" ht="13.15" customHeight="1" thickBot="1">
      <c r="A23" s="1" t="n">
        <v>22</v>
      </c>
      <c r="B23" s="2" t="inlineStr">
        <is>
          <t>FOCO DE LED M16 GU5 LUZ FRÍA (CAJA C/10 PIEZAS).</t>
        </is>
      </c>
      <c r="C23" s="1" t="n">
        <v>1</v>
      </c>
      <c r="D23" s="1" t="inlineStr">
        <is>
          <t>CAJA</t>
        </is>
      </c>
      <c r="E23" s="1" t="inlineStr">
        <is>
          <t>MEXICO</t>
        </is>
      </c>
      <c r="F23" s="1" t="n">
        <v>100</v>
      </c>
      <c r="G23" s="46" t="inlineStr">
        <is>
          <t>PEFSA</t>
        </is>
      </c>
      <c r="H23" s="1" t="n"/>
      <c r="I23" s="10" t="n">
        <v>120</v>
      </c>
      <c r="J23" s="15" t="n">
        <v>14.07</v>
      </c>
      <c r="K23" s="44" t="n"/>
      <c r="L23" s="44" t="n"/>
      <c r="M23" s="59" t="n">
        <v>120</v>
      </c>
      <c r="N23" t="inlineStr">
        <is>
          <t>pefsa</t>
        </is>
      </c>
    </row>
    <row r="24" ht="13.15" customHeight="1" thickBot="1">
      <c r="A24" s="1" t="n">
        <v>23</v>
      </c>
      <c r="B24" s="2" t="inlineStr">
        <is>
          <t>FOCO DE LED 8.5 W LUZ FRÍA 806 LUMEN- (3 PIEZAS).</t>
        </is>
      </c>
      <c r="C24" s="1" t="n">
        <v>1</v>
      </c>
      <c r="D24" s="1" t="inlineStr">
        <is>
          <t>CAJA</t>
        </is>
      </c>
      <c r="E24" s="1" t="inlineStr">
        <is>
          <t>MEXICO</t>
        </is>
      </c>
      <c r="F24" s="1" t="n">
        <v>100</v>
      </c>
      <c r="G24" s="46" t="inlineStr">
        <is>
          <t>PEFSA</t>
        </is>
      </c>
      <c r="H24" s="1" t="n"/>
      <c r="I24" s="10" t="n">
        <v>26</v>
      </c>
      <c r="J24" s="15" t="n">
        <v>7.79</v>
      </c>
      <c r="K24" s="44" t="n"/>
      <c r="L24" s="44" t="n"/>
      <c r="M24" s="59" t="n">
        <v>26</v>
      </c>
      <c r="N24" t="inlineStr">
        <is>
          <t>pefsa</t>
        </is>
      </c>
    </row>
    <row r="25" ht="13.15" customHeight="1" thickBot="1">
      <c r="A25" s="1" t="n">
        <v>24</v>
      </c>
      <c r="B25" s="2" t="inlineStr">
        <is>
          <t>FUSIBLE 30 A (CAJA C/10 PIEZAS).</t>
        </is>
      </c>
      <c r="C25" s="1" t="n">
        <v>1</v>
      </c>
      <c r="D25" s="1" t="inlineStr">
        <is>
          <t>CAJA</t>
        </is>
      </c>
      <c r="E25" s="1" t="inlineStr">
        <is>
          <t>MEXICO</t>
        </is>
      </c>
      <c r="F25" s="1" t="n">
        <v>100</v>
      </c>
      <c r="G25" s="46" t="inlineStr">
        <is>
          <t>SQUARE D</t>
        </is>
      </c>
      <c r="H25" s="1" t="n"/>
      <c r="I25" s="10" t="n">
        <v>437</v>
      </c>
      <c r="J25" s="10" t="n"/>
      <c r="K25" s="44" t="n"/>
      <c r="L25" s="44" t="n"/>
      <c r="M25" s="59" t="n">
        <v>437</v>
      </c>
      <c r="N25" t="inlineStr">
        <is>
          <t>pefsa</t>
        </is>
      </c>
    </row>
    <row r="26" ht="13.15" customHeight="1" thickBot="1">
      <c r="A26" s="1" t="n">
        <v>25</v>
      </c>
      <c r="B26" s="2" t="inlineStr">
        <is>
          <t>FUSIBLE 30 A (CAJA C/10 PIEZAS).</t>
        </is>
      </c>
      <c r="C26" s="1" t="n">
        <v>1</v>
      </c>
      <c r="D26" s="1" t="inlineStr">
        <is>
          <t>CAJA</t>
        </is>
      </c>
      <c r="E26" s="1" t="inlineStr">
        <is>
          <t>MEXICO</t>
        </is>
      </c>
      <c r="F26" s="1" t="n">
        <v>100</v>
      </c>
      <c r="G26" s="46" t="inlineStr">
        <is>
          <t>SQUARE D</t>
        </is>
      </c>
      <c r="H26" s="1" t="n"/>
      <c r="I26" s="10" t="n">
        <v>437</v>
      </c>
      <c r="J26" s="10" t="n"/>
      <c r="K26" s="44" t="n"/>
      <c r="L26" s="44" t="n"/>
      <c r="M26" s="59" t="n">
        <v>437</v>
      </c>
      <c r="N26" t="inlineStr">
        <is>
          <t>pefsa</t>
        </is>
      </c>
    </row>
    <row r="27" ht="13.15" customHeight="1" thickBot="1">
      <c r="A27" s="1" t="n">
        <v>26</v>
      </c>
      <c r="B27" s="2" t="inlineStr">
        <is>
          <t>FUSIBLE 60 A (CAJA C/10 PIEZAS).</t>
        </is>
      </c>
      <c r="C27" s="1" t="n">
        <v>1</v>
      </c>
      <c r="D27" s="1" t="inlineStr">
        <is>
          <t>CAJA</t>
        </is>
      </c>
      <c r="E27" s="1" t="inlineStr">
        <is>
          <t>MEXICO</t>
        </is>
      </c>
      <c r="F27" s="1" t="n">
        <v>100</v>
      </c>
      <c r="G27" s="46" t="inlineStr">
        <is>
          <t>SQUARE D</t>
        </is>
      </c>
      <c r="H27" s="47" t="n"/>
      <c r="I27" s="55" t="n">
        <v>1023</v>
      </c>
      <c r="J27" s="55" t="n"/>
      <c r="K27" s="56" t="n"/>
      <c r="L27" s="44" t="n"/>
      <c r="M27" s="59" t="n">
        <v>1023</v>
      </c>
      <c r="N27" t="inlineStr">
        <is>
          <t>pefsa</t>
        </is>
      </c>
    </row>
    <row r="28" ht="13.15" customHeight="1" thickBot="1">
      <c r="A28" s="47" t="n">
        <v>27</v>
      </c>
      <c r="B28" s="54" t="inlineStr">
        <is>
          <t>FUSIBLE 100 A.</t>
        </is>
      </c>
      <c r="C28" s="47" t="n">
        <v>1</v>
      </c>
      <c r="D28" s="47" t="inlineStr">
        <is>
          <t>PIEZA</t>
        </is>
      </c>
      <c r="E28" s="1" t="inlineStr">
        <is>
          <t>MEXICO</t>
        </is>
      </c>
      <c r="F28" s="1" t="n">
        <v>100</v>
      </c>
      <c r="G28" s="47" t="inlineStr">
        <is>
          <t>SQUARE D</t>
        </is>
      </c>
      <c r="H28" s="46" t="n"/>
      <c r="I28" s="57" t="n">
        <v>3068</v>
      </c>
      <c r="J28" s="57" t="n"/>
      <c r="K28" s="58" t="n"/>
      <c r="L28" s="44" t="n"/>
      <c r="M28" s="59" t="n">
        <v>3068</v>
      </c>
      <c r="N28" t="inlineStr">
        <is>
          <t>pefsa</t>
        </is>
      </c>
    </row>
    <row r="29" ht="13.15" customHeight="1" thickBot="1">
      <c r="A29" s="1" t="n">
        <v>28</v>
      </c>
      <c r="B29" s="2" t="inlineStr">
        <is>
          <t>INTERRUPTOR TERMO MAGNÉTICO 1 X 20 AMPERES (CAJA C/10 PIEZAS).</t>
        </is>
      </c>
      <c r="C29" s="1" t="n">
        <v>1</v>
      </c>
      <c r="D29" s="1" t="inlineStr">
        <is>
          <t>CAJA</t>
        </is>
      </c>
      <c r="E29" s="1" t="inlineStr">
        <is>
          <t>MEXICO</t>
        </is>
      </c>
      <c r="F29" s="1" t="n">
        <v>100</v>
      </c>
      <c r="G29" s="46" t="inlineStr">
        <is>
          <t>SQUARE D</t>
        </is>
      </c>
      <c r="H29" s="46" t="n"/>
      <c r="I29" s="57" t="n"/>
      <c r="J29" s="57" t="n"/>
      <c r="K29" s="58" t="n"/>
      <c r="L29" s="44" t="n"/>
      <c r="M29" s="7" t="n"/>
    </row>
    <row r="30" ht="13.15" customHeight="1" thickBot="1">
      <c r="A30" s="1" t="n">
        <v>29</v>
      </c>
      <c r="B30" s="2" t="inlineStr">
        <is>
          <t>INTERRUPTOR TERMO MAGNÉTICO 1 X 30 AMPERES (CAJA C/10 PIEZAS).</t>
        </is>
      </c>
      <c r="C30" s="1" t="n">
        <v>1</v>
      </c>
      <c r="D30" s="1" t="inlineStr">
        <is>
          <t>CAJA</t>
        </is>
      </c>
      <c r="E30" s="1" t="inlineStr">
        <is>
          <t>MEXICO</t>
        </is>
      </c>
      <c r="F30" s="1" t="n">
        <v>100</v>
      </c>
      <c r="G30" s="46" t="inlineStr">
        <is>
          <t>SQUARE D</t>
        </is>
      </c>
      <c r="H30" s="53" t="n"/>
      <c r="I30" s="10" t="n">
        <v>1681</v>
      </c>
      <c r="J30" s="10" t="n"/>
      <c r="K30" s="44" t="n"/>
      <c r="L30" s="44" t="n"/>
      <c r="M30" s="59" t="n">
        <v>1681</v>
      </c>
      <c r="N30" t="inlineStr">
        <is>
          <t>pefsa</t>
        </is>
      </c>
    </row>
    <row r="31" ht="13.15" customHeight="1" thickBot="1">
      <c r="A31" s="1" t="n">
        <v>30</v>
      </c>
      <c r="B31" s="2" t="inlineStr">
        <is>
          <t>INTERRUPTOR TERMO MAGNÉTICO 1 X 50 AMPERES (CAJA C/10 PIEZAS).</t>
        </is>
      </c>
      <c r="C31" s="1" t="n">
        <v>1</v>
      </c>
      <c r="D31" s="1" t="inlineStr">
        <is>
          <t>CAJA</t>
        </is>
      </c>
      <c r="E31" s="1" t="inlineStr">
        <is>
          <t>MEXICO</t>
        </is>
      </c>
      <c r="F31" s="1" t="n">
        <v>100</v>
      </c>
      <c r="G31" s="46" t="inlineStr">
        <is>
          <t>SQUARE D</t>
        </is>
      </c>
      <c r="H31" s="1" t="n"/>
      <c r="I31" s="10" t="n">
        <v>1681</v>
      </c>
      <c r="J31" s="10" t="n"/>
      <c r="K31" s="44" t="n"/>
      <c r="L31" s="44" t="n"/>
      <c r="M31" s="59" t="n">
        <v>1681</v>
      </c>
      <c r="N31" t="inlineStr">
        <is>
          <t>pefsa</t>
        </is>
      </c>
    </row>
    <row r="32" ht="25.9" customHeight="1" thickBot="1">
      <c r="A32" s="1" t="n">
        <v>31</v>
      </c>
      <c r="B32" s="2" t="inlineStr">
        <is>
          <t>TUBO DE LED 8 WATTS T5D 60 LUZ DE DÍA (NOM-030-ENER-2012 Y NOM-031-ENER-2013) ) CAJA C/25 PIEZAS.</t>
        </is>
      </c>
      <c r="C32" s="1" t="n">
        <v>1</v>
      </c>
      <c r="D32" s="1" t="inlineStr">
        <is>
          <t>CAJA</t>
        </is>
      </c>
      <c r="E32" s="1" t="inlineStr">
        <is>
          <t>MEXICO</t>
        </is>
      </c>
      <c r="F32" s="1" t="n">
        <v>100</v>
      </c>
      <c r="G32" s="46" t="inlineStr">
        <is>
          <t>PEFSA</t>
        </is>
      </c>
      <c r="H32" s="1" t="n"/>
      <c r="I32" s="10" t="n">
        <v>1681</v>
      </c>
      <c r="J32" s="15" t="n"/>
      <c r="K32" s="44" t="n"/>
      <c r="L32" s="44" t="n"/>
      <c r="M32" s="59" t="n">
        <v>1681</v>
      </c>
      <c r="N32" t="inlineStr">
        <is>
          <t>pefsa</t>
        </is>
      </c>
    </row>
    <row r="33" ht="25.9" customHeight="1" thickBot="1">
      <c r="A33" s="1" t="n">
        <v>32</v>
      </c>
      <c r="B33" s="2" t="inlineStr">
        <is>
          <t>TUBO DE LED 16 WATTS T8D120 LUZ DE DÍA (NOM-030-ENER-2012 Y NOM-031-ENER-2013) ) CAJA C/25 PIEZAS.</t>
        </is>
      </c>
      <c r="C33" s="1" t="n">
        <v>1</v>
      </c>
      <c r="D33" s="1" t="inlineStr">
        <is>
          <t>CAJA</t>
        </is>
      </c>
      <c r="E33" s="1" t="inlineStr">
        <is>
          <t>MEXICO</t>
        </is>
      </c>
      <c r="F33" s="1" t="n">
        <v>100</v>
      </c>
      <c r="G33" s="46" t="inlineStr">
        <is>
          <t>PEFSA</t>
        </is>
      </c>
      <c r="H33" s="1" t="n"/>
      <c r="I33" s="10" t="n">
        <v>990</v>
      </c>
      <c r="J33" s="15" t="n">
        <v>49.5</v>
      </c>
      <c r="K33" s="44" t="n"/>
      <c r="L33" s="44" t="n"/>
      <c r="M33" s="59" t="n">
        <v>990</v>
      </c>
      <c r="N33" t="inlineStr">
        <is>
          <t>pefsa</t>
        </is>
      </c>
    </row>
    <row r="34" ht="25.9" customHeight="1" thickBot="1">
      <c r="A34" s="1" t="n">
        <v>33</v>
      </c>
      <c r="B34" s="2" t="inlineStr">
        <is>
          <t>LÁMPARA LED CUADRADA DE 18 W LUZ BLANCA DE SOBRE PONER (NOM-030-ENER-2012 Y NOM-031-ENER-2013).</t>
        </is>
      </c>
      <c r="C34" s="1" t="n">
        <v>1</v>
      </c>
      <c r="D34" s="1" t="inlineStr">
        <is>
          <t>PIEZA</t>
        </is>
      </c>
      <c r="E34" s="1" t="inlineStr">
        <is>
          <t>MEXICO</t>
        </is>
      </c>
      <c r="F34" s="1" t="n">
        <v>100</v>
      </c>
      <c r="G34" s="46" t="inlineStr">
        <is>
          <t>PEFSA</t>
        </is>
      </c>
      <c r="H34" s="1" t="n"/>
      <c r="I34" s="10" t="n">
        <v>938</v>
      </c>
      <c r="J34" s="15" t="n">
        <v>46.9</v>
      </c>
      <c r="K34" s="44" t="n"/>
      <c r="L34" s="44" t="n"/>
      <c r="M34" s="59" t="n">
        <v>938</v>
      </c>
      <c r="N34" t="inlineStr">
        <is>
          <t>pefsa</t>
        </is>
      </c>
    </row>
    <row r="35" ht="25.9" customHeight="1" thickBot="1">
      <c r="A35" s="1" t="n">
        <v>34</v>
      </c>
      <c r="B35" s="2" t="inlineStr">
        <is>
          <t>LÁMPARA LED CUADRADA DE 18 W LUZ BLANCA DE EMPOTRAR (NOM-030-ENER-2012 Y NOM-031-ENER-2013).</t>
        </is>
      </c>
      <c r="C35" s="1" t="n">
        <v>1</v>
      </c>
      <c r="D35" s="1" t="inlineStr">
        <is>
          <t>PIEZA</t>
        </is>
      </c>
      <c r="E35" s="1" t="inlineStr">
        <is>
          <t>MEXICO</t>
        </is>
      </c>
      <c r="F35" s="1" t="n">
        <v>100</v>
      </c>
      <c r="G35" s="46" t="inlineStr">
        <is>
          <t>PEFSA</t>
        </is>
      </c>
      <c r="H35" s="1" t="n"/>
      <c r="I35" s="10" t="n">
        <v>101</v>
      </c>
      <c r="J35" s="15" t="n"/>
      <c r="K35" s="44" t="n"/>
      <c r="L35" s="44" t="n"/>
      <c r="M35" s="59" t="n">
        <v>101</v>
      </c>
      <c r="N35" t="inlineStr">
        <is>
          <t>pefsa</t>
        </is>
      </c>
    </row>
    <row r="36" ht="25.9" customHeight="1" thickBot="1">
      <c r="A36" s="1" t="n">
        <v>35</v>
      </c>
      <c r="B36" s="2" t="inlineStr">
        <is>
          <t>LÁMPARA DE LED 60W 60 X 60 LUZ FRÍA PARA EMPOTRAR (NOM-030-ENER-2012 Y NOM-031-ENER-2013).</t>
        </is>
      </c>
      <c r="C36" s="1" t="n">
        <v>1</v>
      </c>
      <c r="D36" s="1" t="inlineStr">
        <is>
          <t>PIEZA</t>
        </is>
      </c>
      <c r="E36" s="1" t="inlineStr">
        <is>
          <t>MEXICO</t>
        </is>
      </c>
      <c r="F36" s="1" t="n">
        <v>100</v>
      </c>
      <c r="G36" s="46" t="inlineStr">
        <is>
          <t>PEFSA</t>
        </is>
      </c>
      <c r="H36" s="1" t="n"/>
      <c r="I36" s="10" t="n">
        <v>101</v>
      </c>
      <c r="J36" s="15" t="n"/>
      <c r="K36" s="44" t="n"/>
      <c r="L36" s="44" t="n"/>
      <c r="M36" s="59" t="n">
        <v>101</v>
      </c>
      <c r="N36" t="inlineStr">
        <is>
          <t>pefsa</t>
        </is>
      </c>
    </row>
    <row r="37" ht="25.9" customHeight="1" thickBot="1">
      <c r="A37" s="1" t="n">
        <v>36</v>
      </c>
      <c r="B37" s="2" t="inlineStr">
        <is>
          <t>LÁMPARA DE LED 60W 60 X 60 LUZ FRÍA DE SOBRE PONER (NOM-030-ENER-2012 Y NOM-031-ENER-2013).</t>
        </is>
      </c>
      <c r="C37" s="1" t="n">
        <v>1</v>
      </c>
      <c r="D37" s="1" t="inlineStr">
        <is>
          <t>PIEZA</t>
        </is>
      </c>
      <c r="E37" s="1" t="inlineStr">
        <is>
          <t>MEXICO</t>
        </is>
      </c>
      <c r="F37" s="1" t="n">
        <v>100</v>
      </c>
      <c r="G37" s="46" t="inlineStr">
        <is>
          <t>PHILCO</t>
        </is>
      </c>
      <c r="H37" s="1" t="n"/>
      <c r="I37" s="10" t="n">
        <v>380</v>
      </c>
      <c r="J37" s="15" t="n">
        <v>194.12</v>
      </c>
      <c r="K37" s="44" t="n"/>
      <c r="L37" s="44" t="n"/>
      <c r="M37" s="59" t="n">
        <v>194.12</v>
      </c>
      <c r="N37" t="inlineStr">
        <is>
          <t>philco</t>
        </is>
      </c>
    </row>
    <row r="38" ht="25.9" customHeight="1" thickBot="1">
      <c r="A38" s="1" t="n">
        <v>37</v>
      </c>
      <c r="B38" s="2" t="inlineStr">
        <is>
          <t>LÁMPARA DE LED 40W 30 X 120 LUZ FRÍA DE SOBRE PONER (NOM-030-ENER-2012 Y NOM-031-ENER-2013).</t>
        </is>
      </c>
      <c r="C38" s="1" t="n">
        <v>1</v>
      </c>
      <c r="D38" s="1" t="inlineStr">
        <is>
          <t>PIEZA</t>
        </is>
      </c>
      <c r="E38" s="1" t="inlineStr">
        <is>
          <t>MEXICO</t>
        </is>
      </c>
      <c r="F38" s="1" t="n">
        <v>100</v>
      </c>
      <c r="G38" s="46" t="inlineStr">
        <is>
          <t>PHILCO</t>
        </is>
      </c>
      <c r="H38" s="1" t="n"/>
      <c r="I38" s="10" t="n">
        <v>380</v>
      </c>
      <c r="J38" s="15">
        <f>194.12+100</f>
        <v/>
      </c>
      <c r="K38" s="44" t="n"/>
      <c r="L38" s="44" t="n"/>
      <c r="M38" s="59" t="n">
        <v>294.12</v>
      </c>
      <c r="N38" t="inlineStr">
        <is>
          <t>philco</t>
        </is>
      </c>
    </row>
    <row r="39" ht="25.9" customHeight="1" thickBot="1">
      <c r="A39" s="1" t="n">
        <v>38</v>
      </c>
      <c r="B39" s="2" t="inlineStr">
        <is>
          <t>LÁMPARA DE LED 80W 60 X 120 LUZ FRÍA DE SOBRE PONER (NOM-030-ENER-2012 Y NOM-031-ENER-2013).</t>
        </is>
      </c>
      <c r="C39" s="1" t="n">
        <v>1</v>
      </c>
      <c r="D39" s="1" t="inlineStr">
        <is>
          <t>PIEZA</t>
        </is>
      </c>
      <c r="E39" s="1" t="inlineStr">
        <is>
          <t>MEXICO</t>
        </is>
      </c>
      <c r="F39" s="1" t="n">
        <v>100</v>
      </c>
      <c r="G39" s="46" t="inlineStr">
        <is>
          <t>PHILCO</t>
        </is>
      </c>
      <c r="H39" s="1" t="n"/>
      <c r="I39" s="10" t="n">
        <v>615</v>
      </c>
      <c r="J39" s="15">
        <f>235.29+137.13</f>
        <v/>
      </c>
      <c r="K39" s="44" t="n"/>
      <c r="L39" s="44" t="n"/>
      <c r="M39" s="59" t="n">
        <v>372.42</v>
      </c>
      <c r="N39" t="inlineStr">
        <is>
          <t>philco</t>
        </is>
      </c>
    </row>
    <row r="40" ht="38.65" customHeight="1" thickBot="1">
      <c r="A40" s="1" t="n">
        <v>39</v>
      </c>
      <c r="B40" s="2" t="inlineStr">
        <is>
          <t>LÁMPARA DE LED, LUZ FRÍA, LINEAL CON GABINETE, MEDIDA DEL GABINETE 1.20 MTS. POR 0 .06 MTS DE ALTO Y 0 .06 DE ANCHO COLGANTE, VARIACIÓN DE MEDIDAS +/- 5% (NOM-030-ENER-2012 Y NOM-031-ENER-2013).</t>
        </is>
      </c>
      <c r="C40" s="1" t="n">
        <v>1</v>
      </c>
      <c r="D40" s="1" t="inlineStr">
        <is>
          <t>PIEZA</t>
        </is>
      </c>
      <c r="E40" s="1" t="inlineStr">
        <is>
          <t>MEXICO</t>
        </is>
      </c>
      <c r="F40" s="1" t="n">
        <v>100</v>
      </c>
      <c r="G40" s="46" t="inlineStr">
        <is>
          <t>PEFSA</t>
        </is>
      </c>
      <c r="H40" s="1" t="n"/>
      <c r="I40" s="10" t="n">
        <v>790</v>
      </c>
      <c r="J40" s="15">
        <f>717.65+100+137.13</f>
        <v/>
      </c>
      <c r="K40" s="44" t="n"/>
      <c r="L40" s="44" t="n"/>
      <c r="M40" s="59" t="n">
        <v>790</v>
      </c>
      <c r="N40" t="inlineStr">
        <is>
          <t>pefsa</t>
        </is>
      </c>
    </row>
    <row r="41" ht="13.15" customHeight="1" thickBot="1">
      <c r="A41" s="1" t="n">
        <v>40</v>
      </c>
      <c r="B41" s="2" t="inlineStr">
        <is>
          <t xml:space="preserve">LUMINARIA REDONDA 30 CM DE DIAMETRO  LUZ FRÍA PARA EMPOTRAR </t>
        </is>
      </c>
      <c r="C41" s="1" t="n">
        <v>1</v>
      </c>
      <c r="D41" s="1" t="inlineStr">
        <is>
          <t>PIEZA</t>
        </is>
      </c>
      <c r="E41" s="1" t="inlineStr">
        <is>
          <t>MEXICO</t>
        </is>
      </c>
      <c r="F41" s="1" t="n">
        <v>100</v>
      </c>
      <c r="G41" s="46" t="inlineStr">
        <is>
          <t>PEFSA</t>
        </is>
      </c>
      <c r="H41" s="1" t="n"/>
      <c r="I41" s="10" t="n">
        <v>690</v>
      </c>
      <c r="J41" s="15" t="n"/>
      <c r="K41" s="44" t="n"/>
      <c r="L41" s="44" t="n"/>
      <c r="M41" s="59" t="n">
        <v>690</v>
      </c>
      <c r="N41" t="inlineStr">
        <is>
          <t>pefsa</t>
        </is>
      </c>
    </row>
    <row r="42" ht="25.9" customHeight="1" thickBot="1">
      <c r="A42" s="1" t="n">
        <v>41</v>
      </c>
      <c r="B42" s="2" t="inlineStr">
        <is>
          <t>LUMINARIA TIPO SPOT DE LED DE 12 WATTS DE 45 mm DE DIÁMETRO POR 62 MM DE PROFUNDIDAD LUZ FRÍA O BLANCA 1 PIEZA.</t>
        </is>
      </c>
      <c r="C42" s="1" t="n">
        <v>1</v>
      </c>
      <c r="D42" s="1" t="inlineStr">
        <is>
          <t>PIEZA</t>
        </is>
      </c>
      <c r="E42" s="1" t="inlineStr">
        <is>
          <t>MEXICO</t>
        </is>
      </c>
      <c r="F42" s="1" t="n">
        <v>100</v>
      </c>
      <c r="G42" s="46" t="inlineStr">
        <is>
          <t>PEFSA</t>
        </is>
      </c>
      <c r="H42" s="1" t="n"/>
      <c r="I42" s="10" t="n">
        <v>83</v>
      </c>
      <c r="J42" s="15" t="n">
        <v>86</v>
      </c>
      <c r="K42" s="44" t="n"/>
      <c r="L42" s="44" t="n"/>
      <c r="M42" s="59" t="n">
        <v>83</v>
      </c>
      <c r="N42" t="inlineStr">
        <is>
          <t>pefsa</t>
        </is>
      </c>
    </row>
    <row r="43" ht="25.9" customHeight="1" thickBot="1">
      <c r="A43" s="1" t="n">
        <v>42</v>
      </c>
      <c r="B43" s="2" t="inlineStr">
        <is>
          <t>LUMINARIA TIPO SPOT DE LED DE 12 WATTS DE 138 mm DE DIÁMETRO POR 62 MM DE PROFUNDIDAD LUZ FRÍA O BLANCA 1 PIEZA.</t>
        </is>
      </c>
      <c r="C43" s="1" t="n">
        <v>1</v>
      </c>
      <c r="D43" s="1" t="inlineStr">
        <is>
          <t>CAJA</t>
        </is>
      </c>
      <c r="E43" s="1" t="inlineStr">
        <is>
          <t>MEXICO</t>
        </is>
      </c>
      <c r="F43" s="1" t="n">
        <v>100</v>
      </c>
      <c r="G43" s="46" t="inlineStr">
        <is>
          <t>PEFSA</t>
        </is>
      </c>
      <c r="H43" s="1" t="n"/>
      <c r="I43" s="10" t="n">
        <v>148</v>
      </c>
      <c r="J43" s="15" t="n"/>
      <c r="K43" s="44" t="n"/>
      <c r="L43" s="44" t="n"/>
      <c r="M43" s="59" t="n">
        <v>148</v>
      </c>
      <c r="N43" t="inlineStr">
        <is>
          <t>pefsa</t>
        </is>
      </c>
    </row>
    <row r="44" ht="25.9" customHeight="1" thickBot="1">
      <c r="A44" s="1" t="n">
        <v>43</v>
      </c>
      <c r="B44" s="2" t="inlineStr">
        <is>
          <t>LUMINARIA (KIT DE 4 LÁMPARAS LED PARA EMPOTRAR REDONDAS, LUZ NEUTRA, DIÁMETRO DE 8.602 CMS).</t>
        </is>
      </c>
      <c r="C44" s="1" t="n">
        <v>1</v>
      </c>
      <c r="D44" s="1" t="inlineStr">
        <is>
          <t>CAJA</t>
        </is>
      </c>
      <c r="E44" s="1" t="inlineStr">
        <is>
          <t>MEXICO</t>
        </is>
      </c>
      <c r="F44" s="1" t="n">
        <v>100</v>
      </c>
      <c r="G44" t="inlineStr">
        <is>
          <t>PEFSA</t>
        </is>
      </c>
      <c r="H44" s="1" t="n"/>
      <c r="I44" s="10" t="n">
        <v>148</v>
      </c>
      <c r="J44" s="15" t="n"/>
      <c r="L44" s="44" t="n"/>
      <c r="M44" s="59" t="n">
        <v>148</v>
      </c>
      <c r="N44" t="inlineStr">
        <is>
          <t>pefsa</t>
        </is>
      </c>
    </row>
    <row r="45" ht="38.65" customHeight="1" thickBot="1">
      <c r="A45" s="1" t="n">
        <v>44</v>
      </c>
      <c r="B45" s="2" t="inlineStr">
        <is>
          <t>MULTÍMETRO DIGITAL (PINZA AMPERÍMETRO TENSIÓN MAX DE CORRIENTE ALTERNA Y CONTINUA DE 600 V, RESISTENCIA 4000 OMS Y MEDIDOR DE TEMPERATURA).</t>
        </is>
      </c>
      <c r="C45" s="1" t="n">
        <v>1</v>
      </c>
      <c r="D45" s="1" t="inlineStr">
        <is>
          <t>PIEZA</t>
        </is>
      </c>
      <c r="E45" s="1" t="inlineStr">
        <is>
          <t>ESTADOS UNIDOS</t>
        </is>
      </c>
      <c r="F45" s="1" t="n">
        <v>0</v>
      </c>
      <c r="G45" s="46" t="inlineStr">
        <is>
          <t>KLEIN TOOLS</t>
        </is>
      </c>
      <c r="H45" s="1" t="n"/>
      <c r="I45" s="10" t="n"/>
      <c r="J45" s="15" t="n"/>
      <c r="K45" s="45" t="n">
        <v>3409</v>
      </c>
      <c r="L45" s="44" t="n"/>
      <c r="M45" s="59" t="n">
        <v>3409</v>
      </c>
      <c r="N45" t="inlineStr">
        <is>
          <t>fmp</t>
        </is>
      </c>
    </row>
    <row r="46" ht="13.15" customHeight="1" thickBot="1">
      <c r="A46" s="1" t="n">
        <v>45</v>
      </c>
      <c r="B46" s="2" t="inlineStr">
        <is>
          <t xml:space="preserve">PILA RECARGABLE AA (PAQUETE CON 4 PILAS, INCLUYE CARGADOR) </t>
        </is>
      </c>
      <c r="C46" s="1" t="n">
        <v>1</v>
      </c>
      <c r="D46" s="1" t="inlineStr">
        <is>
          <t>PAQUETE</t>
        </is>
      </c>
      <c r="E46" s="1" t="inlineStr">
        <is>
          <t>MEXICO</t>
        </is>
      </c>
      <c r="F46" s="1" t="n">
        <v>100</v>
      </c>
      <c r="G46" s="46" t="inlineStr">
        <is>
          <t>SURTEK</t>
        </is>
      </c>
      <c r="H46" s="1" t="n"/>
      <c r="I46" s="10" t="n"/>
      <c r="J46" s="15" t="n"/>
      <c r="K46" s="45" t="n">
        <v>197</v>
      </c>
      <c r="L46" s="44" t="n"/>
      <c r="M46" s="59" t="n">
        <v>197</v>
      </c>
      <c r="N46" t="inlineStr">
        <is>
          <t>fmp</t>
        </is>
      </c>
    </row>
    <row r="47" ht="13.15" customHeight="1" thickBot="1">
      <c r="A47" s="1" t="n">
        <v>46</v>
      </c>
      <c r="B47" s="2" t="inlineStr">
        <is>
          <t xml:space="preserve">PILA RECARGABLE AAA (PAQUETE CON 4 PILAS INCLUYE CARGADOR) </t>
        </is>
      </c>
      <c r="C47" s="1" t="n">
        <v>1</v>
      </c>
      <c r="D47" s="1" t="inlineStr">
        <is>
          <t>PAQUETE</t>
        </is>
      </c>
      <c r="E47" s="1" t="inlineStr">
        <is>
          <t>MEXICO</t>
        </is>
      </c>
      <c r="F47" s="1" t="n">
        <v>100</v>
      </c>
      <c r="G47" s="46" t="inlineStr">
        <is>
          <t>SURTEK</t>
        </is>
      </c>
      <c r="H47" s="1" t="n"/>
      <c r="I47" s="10" t="n"/>
      <c r="J47" s="15" t="n"/>
      <c r="K47" s="45" t="n">
        <v>197</v>
      </c>
      <c r="L47" s="44" t="n"/>
      <c r="M47" s="59" t="n">
        <v>197</v>
      </c>
      <c r="N47" t="inlineStr">
        <is>
          <t>fmp</t>
        </is>
      </c>
    </row>
    <row r="48" ht="13.15" customHeight="1" thickBot="1">
      <c r="A48" s="1" t="n">
        <v>47</v>
      </c>
      <c r="B48" s="2" t="inlineStr">
        <is>
          <t>PILA RECARGABLE 9 V CUADRADA (INCLUYE CARGADOR)</t>
        </is>
      </c>
      <c r="C48" s="1" t="n">
        <v>1</v>
      </c>
      <c r="D48" s="1" t="inlineStr">
        <is>
          <t>PIEZA</t>
        </is>
      </c>
      <c r="E48" s="1" t="inlineStr">
        <is>
          <t>MEXICO</t>
        </is>
      </c>
      <c r="F48" s="1" t="n">
        <v>100</v>
      </c>
      <c r="G48" s="46" t="inlineStr">
        <is>
          <t>STEREN</t>
        </is>
      </c>
      <c r="H48" s="1" t="n"/>
      <c r="I48" s="10" t="n"/>
      <c r="J48" s="60" t="n"/>
      <c r="K48" s="45" t="n">
        <v>149</v>
      </c>
      <c r="L48" s="44" t="n"/>
      <c r="M48" s="59" t="n">
        <v>149</v>
      </c>
      <c r="N48" t="inlineStr">
        <is>
          <t>fmp</t>
        </is>
      </c>
    </row>
    <row r="49" ht="13.15" customHeight="1" thickBot="1">
      <c r="A49" s="1" t="n">
        <v>48</v>
      </c>
      <c r="B49" s="2" t="inlineStr">
        <is>
          <t>PILA PARA CARETA ELECTRÓNICA TAMAÑO  CR2032</t>
        </is>
      </c>
      <c r="C49" s="1" t="n">
        <v>1</v>
      </c>
      <c r="D49" s="1" t="inlineStr">
        <is>
          <t>PIEZA</t>
        </is>
      </c>
      <c r="E49" s="1" t="inlineStr">
        <is>
          <t>MEXICO</t>
        </is>
      </c>
      <c r="F49" s="1" t="n">
        <v>100</v>
      </c>
      <c r="G49" s="46" t="inlineStr">
        <is>
          <t>SURTEK</t>
        </is>
      </c>
      <c r="H49" s="1" t="n"/>
      <c r="I49" s="10" t="n"/>
      <c r="J49" s="60" t="n"/>
      <c r="K49" s="45" t="n">
        <v>34</v>
      </c>
      <c r="L49" s="44" t="n"/>
      <c r="M49" s="59" t="n">
        <v>34</v>
      </c>
      <c r="N49" t="inlineStr">
        <is>
          <t>fmp</t>
        </is>
      </c>
    </row>
    <row r="50" ht="25.9" customHeight="1" thickBot="1">
      <c r="A50" s="1" t="n">
        <v>49</v>
      </c>
      <c r="B50" s="2" t="inlineStr">
        <is>
          <t>PROBADOR DE CORRIENTE (TIPO LÁPIZ PARA CORRIENTE ALTERNA), INDUSTRIAL.</t>
        </is>
      </c>
      <c r="C50" s="1" t="n">
        <v>1</v>
      </c>
      <c r="D50" s="1" t="inlineStr">
        <is>
          <t>PIEZA</t>
        </is>
      </c>
      <c r="E50" s="1" t="inlineStr">
        <is>
          <t>ESTADOS UNIDOS</t>
        </is>
      </c>
      <c r="F50" s="1" t="n">
        <v>0</v>
      </c>
      <c r="G50" s="46" t="inlineStr">
        <is>
          <t>KLEIN TOOLS</t>
        </is>
      </c>
      <c r="H50" s="1" t="n"/>
      <c r="I50" s="10" t="n"/>
      <c r="J50" s="60" t="n"/>
      <c r="K50" s="45" t="n">
        <v>292</v>
      </c>
      <c r="L50" s="44" t="n"/>
      <c r="M50" s="59" t="n">
        <v>292</v>
      </c>
      <c r="N50" t="inlineStr">
        <is>
          <t>fmp</t>
        </is>
      </c>
    </row>
    <row r="51" ht="13.15" customHeight="1" thickBot="1">
      <c r="A51" s="1" t="n">
        <v>50</v>
      </c>
      <c r="B51" s="2" t="inlineStr">
        <is>
          <t>TAPA PARA CONTACTO DÚPLEX (CAJA C/10 PIEZAS).</t>
        </is>
      </c>
      <c r="C51" s="1" t="n">
        <v>1</v>
      </c>
      <c r="D51" s="1" t="inlineStr">
        <is>
          <t>CAJA</t>
        </is>
      </c>
      <c r="E51" s="1" t="inlineStr">
        <is>
          <t>MEXICO</t>
        </is>
      </c>
      <c r="F51" s="1" t="n">
        <v>100</v>
      </c>
      <c r="G51" s="46" t="inlineStr">
        <is>
          <t>SURTEK</t>
        </is>
      </c>
      <c r="H51" s="1" t="n"/>
      <c r="I51" s="10" t="n"/>
      <c r="J51" s="60" t="n"/>
      <c r="K51" s="45" t="n">
        <v>69.59999999999999</v>
      </c>
      <c r="L51" s="44" t="n"/>
      <c r="M51" s="59" t="n">
        <v>69.59999999999999</v>
      </c>
      <c r="N51" t="inlineStr">
        <is>
          <t>fmp</t>
        </is>
      </c>
    </row>
    <row r="52" ht="13.15" customHeight="1" thickBot="1">
      <c r="A52" s="1" t="n">
        <v>51</v>
      </c>
      <c r="B52" s="2" t="inlineStr">
        <is>
          <t>TAPA PARA CONTACTO DÚPLEX (PARA INTEMPERIE, CAJA C/10 PIEZAS)</t>
        </is>
      </c>
      <c r="C52" s="1" t="n">
        <v>1</v>
      </c>
      <c r="D52" s="1" t="inlineStr">
        <is>
          <t>CAJA</t>
        </is>
      </c>
      <c r="E52" s="1" t="inlineStr">
        <is>
          <t>MEXICO</t>
        </is>
      </c>
      <c r="F52" s="1" t="n">
        <v>100</v>
      </c>
      <c r="G52" s="46" t="inlineStr">
        <is>
          <t>BTICINO</t>
        </is>
      </c>
      <c r="H52" s="1" t="n"/>
      <c r="I52" s="10" t="n">
        <v>119</v>
      </c>
      <c r="J52" s="60" t="n"/>
      <c r="K52" s="45" t="n"/>
      <c r="L52" s="44" t="n"/>
      <c r="M52" s="59" t="n">
        <v>119</v>
      </c>
      <c r="N52" t="inlineStr">
        <is>
          <t>pefsa</t>
        </is>
      </c>
    </row>
    <row r="53" ht="13.15" customHeight="1" thickBot="1">
      <c r="A53" s="1" t="n">
        <v>52</v>
      </c>
      <c r="B53" s="2" t="inlineStr">
        <is>
          <t>TAPA CIEGA (METÁLICA PARA PISO) C/10 PIEZAS.</t>
        </is>
      </c>
      <c r="C53" s="1" t="n">
        <v>1</v>
      </c>
      <c r="D53" s="1" t="inlineStr">
        <is>
          <t>CAJA</t>
        </is>
      </c>
      <c r="E53" s="1" t="inlineStr">
        <is>
          <t>MEXICO</t>
        </is>
      </c>
      <c r="F53" s="1" t="n">
        <v>100</v>
      </c>
      <c r="G53" s="46" t="inlineStr">
        <is>
          <t>BTICINO</t>
        </is>
      </c>
      <c r="H53" s="1" t="n"/>
      <c r="I53" s="10" t="n">
        <v>181</v>
      </c>
      <c r="J53" s="60" t="n"/>
      <c r="K53" s="45" t="n"/>
      <c r="L53" s="44" t="n"/>
      <c r="M53" s="59" t="n">
        <v>181</v>
      </c>
      <c r="N53" t="inlineStr">
        <is>
          <t>pefsa</t>
        </is>
      </c>
    </row>
    <row r="54" ht="13.15" customHeight="1" thickBot="1">
      <c r="A54" s="1" t="n">
        <v>53</v>
      </c>
      <c r="B54" s="2" t="inlineStr">
        <is>
          <t>EXTRACTOR  DE AIRE PARA BAÑO (4”)</t>
        </is>
      </c>
      <c r="C54" s="1" t="n">
        <v>1</v>
      </c>
      <c r="D54" s="1" t="inlineStr">
        <is>
          <t>PIEZA</t>
        </is>
      </c>
      <c r="E54" s="1" t="inlineStr">
        <is>
          <t>MEXICO</t>
        </is>
      </c>
      <c r="F54" s="1" t="n">
        <v>100</v>
      </c>
      <c r="G54" s="46" t="inlineStr">
        <is>
          <t>ESTEVEZ</t>
        </is>
      </c>
      <c r="H54" s="1" t="n"/>
      <c r="I54" s="12" t="n"/>
      <c r="J54" s="60" t="n"/>
      <c r="K54" s="45" t="n">
        <v>449</v>
      </c>
      <c r="L54" s="44" t="n"/>
      <c r="M54" s="59" t="n">
        <v>449</v>
      </c>
      <c r="N54" t="inlineStr">
        <is>
          <t>fmp</t>
        </is>
      </c>
    </row>
    <row r="55" ht="13.15" customHeight="1" thickBot="1">
      <c r="A55" s="1" t="n">
        <v>54</v>
      </c>
      <c r="B55" s="2" t="inlineStr">
        <is>
          <t>EXTRACTOR DE AIRE PARA BAÑO (6”)</t>
        </is>
      </c>
      <c r="C55" s="1" t="n">
        <v>1</v>
      </c>
      <c r="D55" s="1" t="inlineStr">
        <is>
          <t>PIEZA</t>
        </is>
      </c>
      <c r="E55" s="1" t="inlineStr">
        <is>
          <t>MEXICO</t>
        </is>
      </c>
      <c r="F55" s="1" t="n">
        <v>100</v>
      </c>
      <c r="G55" s="46" t="n"/>
      <c r="H55" s="1" t="n"/>
      <c r="I55" s="10" t="n">
        <v>183.5</v>
      </c>
      <c r="J55" s="60" t="n">
        <v>200.61</v>
      </c>
      <c r="K55" s="45" t="n"/>
      <c r="L55" s="44" t="n"/>
      <c r="M55" s="59" t="n">
        <v>183.5</v>
      </c>
      <c r="N55" t="inlineStr">
        <is>
          <t>pefsa</t>
        </is>
      </c>
    </row>
    <row r="56" ht="25.9" customHeight="1" thickBot="1">
      <c r="A56" s="1" t="n">
        <v>55</v>
      </c>
      <c r="B56" s="2" t="inlineStr">
        <is>
          <t>LÁMPARA DE LED DE 200 WATTS A 127 V PARA POSTE, LUZ FRÍA, INCLUYE FOTOCELDA (NOM-030-ENER-2012 Y NOM-031-ENER-2013).</t>
        </is>
      </c>
      <c r="C56" s="1" t="n">
        <v>1</v>
      </c>
      <c r="D56" s="1" t="inlineStr">
        <is>
          <t>PIEZA</t>
        </is>
      </c>
      <c r="E56" s="1" t="inlineStr">
        <is>
          <t>MEXICO</t>
        </is>
      </c>
      <c r="F56" s="1" t="n">
        <v>100</v>
      </c>
      <c r="G56" s="46" t="inlineStr">
        <is>
          <t>PEFSA</t>
        </is>
      </c>
      <c r="H56" s="1" t="n"/>
      <c r="I56" s="10" t="n">
        <v>237.9</v>
      </c>
      <c r="J56" s="60" t="n"/>
      <c r="K56" s="45" t="n"/>
      <c r="L56" s="44" t="n"/>
      <c r="M56" s="59" t="n">
        <v>237.9</v>
      </c>
      <c r="N56" t="inlineStr">
        <is>
          <t>pefsa</t>
        </is>
      </c>
    </row>
    <row r="57" ht="25.9" customHeight="1" thickBot="1">
      <c r="A57" s="1" t="n">
        <v>56</v>
      </c>
      <c r="B57" s="2" t="inlineStr">
        <is>
          <t>LÁMPARA DE EMERGENCIA DE 60 LEDS (NOM-017-ENER/SCFI-2012 Y NOM-032-ENER-2013) RECARGABLE.</t>
        </is>
      </c>
      <c r="C57" s="1" t="n">
        <v>1</v>
      </c>
      <c r="D57" s="1" t="inlineStr">
        <is>
          <t>PIEZA</t>
        </is>
      </c>
      <c r="E57" s="1" t="inlineStr">
        <is>
          <t>MEXICO</t>
        </is>
      </c>
      <c r="F57" s="1" t="n">
        <v>100</v>
      </c>
      <c r="G57" s="46" t="inlineStr">
        <is>
          <t>PHILCO</t>
        </is>
      </c>
      <c r="H57" s="1" t="n"/>
      <c r="I57" s="10" t="n">
        <v>1420</v>
      </c>
      <c r="J57" s="60" t="n">
        <v>1050</v>
      </c>
      <c r="K57" s="45" t="n"/>
      <c r="L57" s="44" t="n"/>
      <c r="M57" s="59" t="n">
        <v>1050</v>
      </c>
      <c r="N57" t="inlineStr">
        <is>
          <t>philco</t>
        </is>
      </c>
    </row>
    <row r="58" ht="25.9" customHeight="1" thickBot="1">
      <c r="A58" s="1" t="n">
        <v>57</v>
      </c>
      <c r="B58" s="2" t="inlineStr">
        <is>
          <t>LUMINARIA REFLECTOR DE LED DE 48 WATTS A 127 V. RECTANGULAR, LUZ FRÍA (NOM-030-ENER-2012 Y NOM-031-ENER-2013).</t>
        </is>
      </c>
      <c r="C58" s="1" t="n">
        <v>1</v>
      </c>
      <c r="D58" s="1" t="inlineStr">
        <is>
          <t>PIEZA</t>
        </is>
      </c>
      <c r="E58" s="1" t="inlineStr">
        <is>
          <t>MEXICO</t>
        </is>
      </c>
      <c r="F58" s="1" t="n">
        <v>100</v>
      </c>
      <c r="G58" s="46" t="inlineStr">
        <is>
          <t>PHILCO</t>
        </is>
      </c>
      <c r="H58" s="1" t="n"/>
      <c r="I58" s="10" t="n">
        <v>189</v>
      </c>
      <c r="J58" s="60" t="n">
        <v>156.32</v>
      </c>
      <c r="K58" s="45" t="n"/>
      <c r="L58" s="44" t="n"/>
      <c r="M58" s="59" t="n">
        <v>156.32</v>
      </c>
      <c r="N58" t="inlineStr">
        <is>
          <t>philco</t>
        </is>
      </c>
    </row>
    <row r="59" ht="25.9" customHeight="1" thickBot="1">
      <c r="A59" s="1" t="n">
        <v>58</v>
      </c>
      <c r="B59" s="2" t="inlineStr">
        <is>
          <t>LUMINARIA REFLECTOR DE LED DE 200 WATTS A 127 V. LUZ FRÍA (NOM-030-ENER-2012 Y NOM-031-ENER-2013).</t>
        </is>
      </c>
      <c r="C59" s="1" t="n">
        <v>1</v>
      </c>
      <c r="D59" s="1" t="inlineStr">
        <is>
          <t>PIEZA</t>
        </is>
      </c>
      <c r="E59" s="1" t="inlineStr">
        <is>
          <t>MEXICO</t>
        </is>
      </c>
      <c r="F59" s="1" t="n">
        <v>100</v>
      </c>
      <c r="G59" s="46" t="inlineStr">
        <is>
          <t>PHILCO</t>
        </is>
      </c>
      <c r="H59" s="1" t="n"/>
      <c r="I59" s="10" t="n">
        <v>277</v>
      </c>
      <c r="J59" s="60" t="n">
        <v>130</v>
      </c>
      <c r="K59" s="45" t="n"/>
      <c r="L59" s="44" t="n"/>
      <c r="M59" s="59" t="n">
        <v>130</v>
      </c>
      <c r="N59" t="inlineStr">
        <is>
          <t>philco</t>
        </is>
      </c>
    </row>
    <row r="60" ht="25.9" customHeight="1" thickBot="1">
      <c r="A60" s="1" t="n">
        <v>59</v>
      </c>
      <c r="B60" s="2" t="inlineStr">
        <is>
          <t>LUMINARIA REFLECTOR DE LED DE 200 WATTS A 127 V. LUZ FRÍA MULTICOLOR (NOM-030-ENER-2012 Y NOM-031-ENER-2013)</t>
        </is>
      </c>
      <c r="C60" s="1" t="n">
        <v>1</v>
      </c>
      <c r="D60" s="1" t="inlineStr">
        <is>
          <t>PIEZA</t>
        </is>
      </c>
      <c r="E60" s="1" t="inlineStr">
        <is>
          <t>MEXICO</t>
        </is>
      </c>
      <c r="F60" s="1" t="n">
        <v>100</v>
      </c>
      <c r="G60" s="46" t="inlineStr">
        <is>
          <t>PHILCO</t>
        </is>
      </c>
      <c r="H60" s="1" t="n"/>
      <c r="I60" s="10" t="n">
        <v>630</v>
      </c>
      <c r="J60" s="60" t="n">
        <v>376.47</v>
      </c>
      <c r="K60" s="45" t="n"/>
      <c r="L60" s="44" t="n"/>
      <c r="M60" s="59" t="n">
        <v>376.47</v>
      </c>
      <c r="N60" t="inlineStr">
        <is>
          <t>philco</t>
        </is>
      </c>
    </row>
    <row r="61" ht="13.15" customHeight="1" thickBot="1">
      <c r="A61" s="1" t="n">
        <v>60</v>
      </c>
      <c r="B61" s="2" t="inlineStr">
        <is>
          <t>CABLE THW CALIBRE # 6 (ROLLO DE 100 M, 100% COBRE)</t>
        </is>
      </c>
      <c r="C61" s="1" t="n">
        <v>1</v>
      </c>
      <c r="D61" s="1" t="inlineStr">
        <is>
          <t>ROLLO</t>
        </is>
      </c>
      <c r="E61" s="1" t="inlineStr">
        <is>
          <t>MEXICO</t>
        </is>
      </c>
      <c r="F61" s="1" t="n">
        <v>100</v>
      </c>
      <c r="G61" s="46" t="inlineStr">
        <is>
          <t>CONDUMEX</t>
        </is>
      </c>
      <c r="H61" s="1" t="n"/>
      <c r="I61" s="10" t="n"/>
      <c r="J61" s="60" t="n">
        <v>1400</v>
      </c>
      <c r="K61" s="45" t="n"/>
      <c r="L61" s="44" t="n"/>
      <c r="M61" s="59" t="n">
        <v>1400</v>
      </c>
      <c r="N61" t="inlineStr">
        <is>
          <t>philco</t>
        </is>
      </c>
    </row>
    <row r="62" ht="13.15" customHeight="1" thickBot="1">
      <c r="A62" s="1" t="n">
        <v>61</v>
      </c>
      <c r="B62" s="2" t="inlineStr">
        <is>
          <t>CABLE THW CALIBRE # 8 (ROLLO DE 100 M, 100% COBRE)</t>
        </is>
      </c>
      <c r="C62" s="1" t="n">
        <v>1</v>
      </c>
      <c r="D62" s="1" t="inlineStr">
        <is>
          <t>ROLLO</t>
        </is>
      </c>
      <c r="E62" s="1" t="inlineStr">
        <is>
          <t>MEXICO</t>
        </is>
      </c>
      <c r="F62" s="1" t="n">
        <v>100</v>
      </c>
      <c r="G62" s="46" t="inlineStr">
        <is>
          <t>CONDUMEX</t>
        </is>
      </c>
      <c r="H62" s="1" t="n"/>
      <c r="I62" s="10" t="n">
        <v>4740</v>
      </c>
      <c r="J62" s="60" t="n"/>
      <c r="K62" s="45" t="n"/>
      <c r="L62" s="44" t="n"/>
      <c r="M62" s="59" t="n">
        <v>4740</v>
      </c>
      <c r="N62" t="inlineStr">
        <is>
          <t>pefsa</t>
        </is>
      </c>
    </row>
    <row r="63" ht="13.15" customHeight="1" thickBot="1">
      <c r="A63" s="1" t="n">
        <v>62</v>
      </c>
      <c r="B63" s="2" t="inlineStr">
        <is>
          <t>CABLE THW CALIBRE # 10 (ROLLO DE 100 M, 100% COBRE).</t>
        </is>
      </c>
      <c r="C63" s="1" t="n">
        <v>1</v>
      </c>
      <c r="D63" s="1" t="inlineStr">
        <is>
          <t>ROLLO</t>
        </is>
      </c>
      <c r="E63" s="1" t="inlineStr">
        <is>
          <t>MEXICO</t>
        </is>
      </c>
      <c r="F63" s="1" t="n">
        <v>100</v>
      </c>
      <c r="G63" s="46" t="inlineStr">
        <is>
          <t>CONDUMEX</t>
        </is>
      </c>
      <c r="H63" s="1" t="n"/>
      <c r="I63" s="10" t="n">
        <v>2990</v>
      </c>
      <c r="J63" s="60" t="n"/>
      <c r="K63" s="45" t="n"/>
      <c r="L63" s="44" t="n"/>
      <c r="M63" s="59" t="n">
        <v>2990</v>
      </c>
      <c r="N63" t="inlineStr">
        <is>
          <t>pefsa</t>
        </is>
      </c>
    </row>
    <row r="64" ht="13.15" customHeight="1" thickBot="1">
      <c r="A64" s="1" t="n">
        <v>63</v>
      </c>
      <c r="B64" s="2" t="inlineStr">
        <is>
          <t>CABLE THW CALIBRE # 12 (ROLLO DE 100 M, 100% COBRE).</t>
        </is>
      </c>
      <c r="C64" s="1" t="n">
        <v>1</v>
      </c>
      <c r="D64" s="1" t="inlineStr">
        <is>
          <t>ROLLO</t>
        </is>
      </c>
      <c r="E64" s="1" t="inlineStr">
        <is>
          <t>MEXICO</t>
        </is>
      </c>
      <c r="F64" s="1" t="n">
        <v>100</v>
      </c>
      <c r="G64" s="46" t="inlineStr">
        <is>
          <t>CONDUMEX</t>
        </is>
      </c>
      <c r="H64" s="1" t="n"/>
      <c r="I64" s="10" t="n">
        <v>1850</v>
      </c>
      <c r="J64" s="60" t="n"/>
      <c r="K64" s="45" t="n"/>
      <c r="L64" s="44" t="n"/>
      <c r="M64" s="59" t="n">
        <v>1850</v>
      </c>
      <c r="N64" t="inlineStr">
        <is>
          <t>pefsa</t>
        </is>
      </c>
    </row>
    <row r="65" ht="13.15" customHeight="1" thickBot="1">
      <c r="A65" s="1" t="n">
        <v>64</v>
      </c>
      <c r="B65" s="2" t="inlineStr">
        <is>
          <t>CABLE THW CALIBRE # 14 (ROLLO DE 100 M, 100% COBRE).</t>
        </is>
      </c>
      <c r="C65" s="1" t="n">
        <v>1</v>
      </c>
      <c r="D65" s="1" t="inlineStr">
        <is>
          <t>ROLLO</t>
        </is>
      </c>
      <c r="E65" s="1" t="inlineStr">
        <is>
          <t>MEXICO</t>
        </is>
      </c>
      <c r="F65" s="1" t="n">
        <v>100</v>
      </c>
      <c r="G65" s="46" t="inlineStr">
        <is>
          <t>CONDUMEX</t>
        </is>
      </c>
      <c r="H65" s="1" t="n"/>
      <c r="I65" s="10" t="n">
        <v>1190</v>
      </c>
      <c r="J65" s="60" t="n"/>
      <c r="K65" s="45" t="n"/>
      <c r="L65" s="44" t="n"/>
      <c r="M65" s="59" t="n">
        <v>1190</v>
      </c>
      <c r="N65" t="inlineStr">
        <is>
          <t>pefsa</t>
        </is>
      </c>
    </row>
    <row r="66" ht="13.15" customHeight="1" thickBot="1">
      <c r="A66" s="1" t="n">
        <v>65</v>
      </c>
      <c r="B66" s="2" t="inlineStr">
        <is>
          <t>CABLE THW CALIBRE # 16 (ROLLO DE 100 M, 100% COBRE).</t>
        </is>
      </c>
      <c r="C66" s="1" t="n">
        <v>1</v>
      </c>
      <c r="D66" s="1" t="inlineStr">
        <is>
          <t>ROLLO</t>
        </is>
      </c>
      <c r="E66" s="1" t="inlineStr">
        <is>
          <t>MEXICO</t>
        </is>
      </c>
      <c r="F66" s="1" t="n">
        <v>100</v>
      </c>
      <c r="G66" s="46" t="inlineStr">
        <is>
          <t>CONDUMEX</t>
        </is>
      </c>
      <c r="H66" s="1" t="n"/>
      <c r="I66" s="10" t="n">
        <v>840</v>
      </c>
      <c r="J66" s="60" t="n"/>
      <c r="K66" s="45" t="n"/>
      <c r="L66" s="44" t="n"/>
      <c r="M66" s="59" t="n">
        <v>840</v>
      </c>
      <c r="N66" t="inlineStr">
        <is>
          <t>pefsa</t>
        </is>
      </c>
    </row>
    <row r="67" ht="13.15" customHeight="1" thickBot="1">
      <c r="A67" s="1" t="n">
        <v>66</v>
      </c>
      <c r="B67" s="2" t="inlineStr">
        <is>
          <t>CABLE DE USO RUDO DE 2 X 12 CAL (ROLLO DE 100 M, 100% COBRE).</t>
        </is>
      </c>
      <c r="C67" s="1" t="n">
        <v>1</v>
      </c>
      <c r="D67" s="1" t="inlineStr">
        <is>
          <t>ROLLO</t>
        </is>
      </c>
      <c r="E67" s="1" t="inlineStr">
        <is>
          <t>MEXICO</t>
        </is>
      </c>
      <c r="F67" s="1" t="n">
        <v>100</v>
      </c>
      <c r="G67" s="46" t="inlineStr">
        <is>
          <t>CONDUMEX</t>
        </is>
      </c>
      <c r="H67" s="1" t="n"/>
      <c r="I67" s="10" t="n">
        <v>620</v>
      </c>
      <c r="J67" s="60" t="n"/>
      <c r="K67" s="45" t="n"/>
      <c r="L67" s="44" t="n"/>
      <c r="M67" s="59" t="n">
        <v>620</v>
      </c>
      <c r="N67" t="inlineStr">
        <is>
          <t>pefsa</t>
        </is>
      </c>
    </row>
    <row r="68" ht="13.15" customHeight="1" thickBot="1">
      <c r="A68" s="1" t="n">
        <v>67</v>
      </c>
      <c r="B68" s="2" t="inlineStr">
        <is>
          <t>CABLE DE USO RUDO DE 2 X 14 CAL (ROLLO DE 100 M, 100% COBRE).</t>
        </is>
      </c>
      <c r="C68" s="1" t="n">
        <v>1</v>
      </c>
      <c r="D68" s="1" t="inlineStr">
        <is>
          <t>ROLLO</t>
        </is>
      </c>
      <c r="E68" s="1" t="inlineStr">
        <is>
          <t>MEXICO</t>
        </is>
      </c>
      <c r="F68" s="1" t="n">
        <v>100</v>
      </c>
      <c r="G68" s="46" t="inlineStr">
        <is>
          <t>CONDUMEX</t>
        </is>
      </c>
      <c r="H68" s="1" t="n"/>
      <c r="I68" s="10" t="n">
        <v>3540</v>
      </c>
      <c r="J68" s="60" t="n"/>
      <c r="K68" s="45" t="n"/>
      <c r="L68" s="44" t="n"/>
      <c r="M68" s="59" t="n">
        <v>3540</v>
      </c>
      <c r="N68" t="inlineStr">
        <is>
          <t>pefsa</t>
        </is>
      </c>
    </row>
    <row r="69" ht="13.15" customHeight="1" thickBot="1">
      <c r="A69" s="1" t="n">
        <v>68</v>
      </c>
      <c r="B69" s="2" t="inlineStr">
        <is>
          <t>CABLE DE USO RUDO DE 3 X 16 CAL (ROLLO DE 100 M, 100% COBRE).</t>
        </is>
      </c>
      <c r="C69" s="1" t="n">
        <v>1</v>
      </c>
      <c r="D69" s="1" t="inlineStr">
        <is>
          <t>ROLLO</t>
        </is>
      </c>
      <c r="E69" s="1" t="inlineStr">
        <is>
          <t>MEXICO</t>
        </is>
      </c>
      <c r="F69" s="1" t="n">
        <v>100</v>
      </c>
      <c r="G69" s="46" t="inlineStr">
        <is>
          <t>CONDUMEX</t>
        </is>
      </c>
      <c r="H69" s="1" t="n"/>
      <c r="I69" s="10" t="n">
        <v>2480</v>
      </c>
      <c r="J69" s="60" t="n"/>
      <c r="K69" s="45" t="n"/>
      <c r="L69" s="44" t="n"/>
      <c r="M69" s="59" t="n">
        <v>2480</v>
      </c>
      <c r="N69" t="inlineStr">
        <is>
          <t>pefsa</t>
        </is>
      </c>
    </row>
    <row r="70" ht="13.15" customHeight="1" thickBot="1">
      <c r="A70" s="1" t="n">
        <v>69</v>
      </c>
      <c r="B70" s="2" t="inlineStr">
        <is>
          <t>CABLE DÚPLEX CALIBRE 12 (ROLLO DE 100 M, 100% COBRE).</t>
        </is>
      </c>
      <c r="C70" s="1" t="n">
        <v>1</v>
      </c>
      <c r="D70" s="1" t="inlineStr">
        <is>
          <t>ROLLO</t>
        </is>
      </c>
      <c r="E70" s="1" t="inlineStr">
        <is>
          <t>MEXICO</t>
        </is>
      </c>
      <c r="F70" s="1" t="n">
        <v>100</v>
      </c>
      <c r="G70" s="46" t="inlineStr">
        <is>
          <t>CONDUMEX</t>
        </is>
      </c>
      <c r="H70" s="1" t="n"/>
      <c r="I70" s="10" t="n">
        <v>2220</v>
      </c>
      <c r="J70" s="60" t="n"/>
      <c r="K70" s="45" t="n"/>
      <c r="L70" s="44" t="n"/>
      <c r="M70" s="59" t="n">
        <v>2220</v>
      </c>
      <c r="N70" t="inlineStr">
        <is>
          <t>pefsa</t>
        </is>
      </c>
    </row>
    <row r="71" ht="13.15" customHeight="1" thickBot="1">
      <c r="A71" s="1" t="n">
        <v>70</v>
      </c>
      <c r="B71" s="2" t="inlineStr">
        <is>
          <t>CABLE DÚPLEX CALIBRE 14 (ROLLO DE 100 M, 100% COBRE).</t>
        </is>
      </c>
      <c r="C71" s="1" t="n">
        <v>1</v>
      </c>
      <c r="D71" s="1" t="inlineStr">
        <is>
          <t>ROLLO</t>
        </is>
      </c>
      <c r="E71" s="1" t="inlineStr">
        <is>
          <t>MEXICO</t>
        </is>
      </c>
      <c r="F71" s="1" t="n">
        <v>100</v>
      </c>
      <c r="G71" s="46" t="inlineStr">
        <is>
          <t>CONDUMEX</t>
        </is>
      </c>
      <c r="H71" s="1" t="n"/>
      <c r="I71" s="10" t="n">
        <v>2620</v>
      </c>
      <c r="J71" s="60" t="n"/>
      <c r="K71" s="45" t="n"/>
      <c r="L71" s="44" t="n"/>
      <c r="M71" s="59" t="n">
        <v>2620</v>
      </c>
      <c r="N71" t="inlineStr">
        <is>
          <t>pefsa</t>
        </is>
      </c>
    </row>
    <row r="72" ht="13.15" customHeight="1" thickBot="1">
      <c r="A72" s="1" t="n">
        <v>71</v>
      </c>
      <c r="B72" s="2" t="inlineStr">
        <is>
          <t>CAUTÍN TIPO PISTOLA PARA SOLDADURA EN EQUIPOS ELÉCTRICOS</t>
        </is>
      </c>
      <c r="C72" s="1" t="n">
        <v>1</v>
      </c>
      <c r="D72" s="1" t="inlineStr">
        <is>
          <t>PIEZA</t>
        </is>
      </c>
      <c r="E72" s="1" t="inlineStr">
        <is>
          <t>CHINA</t>
        </is>
      </c>
      <c r="F72" s="1" t="n">
        <v>0</v>
      </c>
      <c r="G72" s="52" t="inlineStr">
        <is>
          <t>NACIONAL</t>
        </is>
      </c>
      <c r="H72" s="1" t="n"/>
      <c r="I72" s="10" t="n">
        <v>1740</v>
      </c>
      <c r="J72" s="60" t="n"/>
      <c r="M72" s="59" t="n">
        <v>1740</v>
      </c>
      <c r="N72" t="inlineStr">
        <is>
          <t>pefsa</t>
        </is>
      </c>
    </row>
    <row r="73" ht="13.15" customHeight="1" thickBot="1">
      <c r="I73" s="13" t="n"/>
      <c r="J73" s="6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7"/>
  <sheetViews>
    <sheetView topLeftCell="B1" zoomScale="94" workbookViewId="0">
      <selection activeCell="J33" sqref="J33"/>
    </sheetView>
  </sheetViews>
  <sheetFormatPr baseColWidth="10" defaultColWidth="11.3984375" defaultRowHeight="12.75"/>
  <cols>
    <col width="14.86328125" customWidth="1" style="6" min="1" max="1"/>
    <col width="77.53125" bestFit="1" customWidth="1" style="6" min="2" max="2"/>
    <col width="9.86328125" customWidth="1" style="6" min="3" max="3"/>
    <col width="8.3984375" bestFit="1" customWidth="1" style="6" min="4" max="4"/>
    <col width="11.3984375" customWidth="1" style="6" min="5" max="9"/>
    <col width="11.3984375" customWidth="1" style="18" min="10" max="11"/>
    <col width="11.3984375" customWidth="1" style="6" min="12" max="16384"/>
  </cols>
  <sheetData>
    <row r="1" ht="38.25" customHeight="1">
      <c r="A1" s="24" t="inlineStr">
        <is>
          <t>CONSECUTIVO</t>
        </is>
      </c>
      <c r="B1" s="25" t="inlineStr">
        <is>
          <t>DESCRIPCIÓN DE LOS BIENES (INCLUYENDO DATOS TÉCNICOS)</t>
        </is>
      </c>
      <c r="C1" s="24" t="inlineStr">
        <is>
          <t>CANTIDAD</t>
        </is>
      </c>
      <c r="D1" s="24" t="inlineStr">
        <is>
          <t>UNIDAD DE MEDIDA</t>
        </is>
      </c>
      <c r="E1" s="26" t="inlineStr">
        <is>
          <t>PAÍS DE ORIGEN</t>
        </is>
      </c>
      <c r="F1" s="26" t="inlineStr">
        <is>
          <t>GRADO DE INTEGRACIÓN NACIONAL</t>
        </is>
      </c>
      <c r="G1" s="26" t="inlineStr">
        <is>
          <t>MARCA</t>
        </is>
      </c>
      <c r="H1" s="26" t="inlineStr">
        <is>
          <t>MODELO</t>
        </is>
      </c>
      <c r="I1" s="26" t="inlineStr">
        <is>
          <t>PRECIO PROVEEDOR</t>
        </is>
      </c>
      <c r="J1" s="27" t="inlineStr">
        <is>
          <t>PRECIOS MONE</t>
        </is>
      </c>
      <c r="K1" s="62" t="n"/>
      <c r="L1" s="26" t="inlineStr">
        <is>
          <t xml:space="preserve">Proveedor seleccionado </t>
        </is>
      </c>
      <c r="M1" s="26" t="inlineStr">
        <is>
          <t>PRECIO PROVEEDOR PINTOLUX</t>
        </is>
      </c>
      <c r="N1" s="26" t="inlineStr">
        <is>
          <t>PRECIO PROVEEDOR SAYER</t>
        </is>
      </c>
      <c r="O1" s="26" t="inlineStr">
        <is>
          <t xml:space="preserve">PRECIO PROVEEDOR EDU </t>
        </is>
      </c>
      <c r="P1" s="26" t="inlineStr">
        <is>
          <t>PRECIO PROVEEDOR INTERNET</t>
        </is>
      </c>
    </row>
    <row r="2">
      <c r="A2" s="28" t="n">
        <v>1</v>
      </c>
      <c r="B2" s="29" t="inlineStr">
        <is>
          <t>BARNIZ PARA MUEBLE (DE NITROCELUSOSA TRANSPARENTE DE 4/L)</t>
        </is>
      </c>
      <c r="C2" s="30" t="n">
        <v>1</v>
      </c>
      <c r="D2" s="30" t="inlineStr">
        <is>
          <t>GALÓN</t>
        </is>
      </c>
      <c r="E2" s="19" t="inlineStr">
        <is>
          <t>MEXICO</t>
        </is>
      </c>
      <c r="F2" s="28" t="n">
        <v>100</v>
      </c>
      <c r="G2" s="28" t="inlineStr">
        <is>
          <t>PINTOLUX</t>
        </is>
      </c>
      <c r="H2" s="31" t="inlineStr">
        <is>
          <t>2021-4</t>
        </is>
      </c>
      <c r="I2" s="63" t="n">
        <v>543</v>
      </c>
      <c r="J2" s="33" t="n"/>
      <c r="K2" s="64" t="n"/>
      <c r="L2" s="34" t="inlineStr">
        <is>
          <t>pintolux</t>
        </is>
      </c>
      <c r="M2" s="48" t="n">
        <v>543</v>
      </c>
      <c r="N2" s="65" t="n">
        <v>972.08</v>
      </c>
      <c r="O2" s="66" t="n"/>
      <c r="P2" s="66" t="n"/>
    </row>
    <row r="3">
      <c r="A3" s="28" t="n">
        <v>2</v>
      </c>
      <c r="B3" s="29" t="inlineStr">
        <is>
          <t>CINTA TIPO MALLA PARA DUROCK (AUTO ADHERIBLE DE 4” X 150”)</t>
        </is>
      </c>
      <c r="C3" s="30" t="n">
        <v>1</v>
      </c>
      <c r="D3" s="30" t="inlineStr">
        <is>
          <t>ROLLO</t>
        </is>
      </c>
      <c r="E3" s="19" t="inlineStr">
        <is>
          <t>MEXICO</t>
        </is>
      </c>
      <c r="F3" s="28" t="n">
        <v>100</v>
      </c>
      <c r="G3" s="19" t="inlineStr">
        <is>
          <t xml:space="preserve">NACIONAL </t>
        </is>
      </c>
      <c r="H3" s="31" t="n"/>
      <c r="I3" s="66" t="n">
        <v>125</v>
      </c>
      <c r="J3" s="33" t="n"/>
      <c r="K3" s="64" t="n"/>
      <c r="L3" s="34" t="inlineStr">
        <is>
          <t>tools</t>
        </is>
      </c>
      <c r="M3" s="48" t="n"/>
      <c r="N3" s="65" t="n"/>
      <c r="O3" s="66" t="n">
        <v>125</v>
      </c>
      <c r="P3" s="66" t="n"/>
    </row>
    <row r="4">
      <c r="A4" s="28" t="n">
        <v>3</v>
      </c>
      <c r="B4" s="29" t="inlineStr">
        <is>
          <t>IMPERMEABILIZANTE (COLOR TERRACOTA 3 AÑOS DE 19 LT.)</t>
        </is>
      </c>
      <c r="C4" s="30" t="n">
        <v>1</v>
      </c>
      <c r="D4" s="30" t="inlineStr">
        <is>
          <t>CUBETA</t>
        </is>
      </c>
      <c r="E4" s="19" t="inlineStr">
        <is>
          <t>MEXICO</t>
        </is>
      </c>
      <c r="F4" s="28" t="n">
        <v>100</v>
      </c>
      <c r="G4" s="28" t="inlineStr">
        <is>
          <t>PINTOLUX</t>
        </is>
      </c>
      <c r="H4" s="31" t="inlineStr">
        <is>
          <t>ICT3-19</t>
        </is>
      </c>
      <c r="I4" s="63" t="n">
        <v>643</v>
      </c>
      <c r="J4" s="33" t="n"/>
      <c r="K4" s="64" t="n"/>
      <c r="L4" s="34" t="inlineStr">
        <is>
          <t>pintolux</t>
        </is>
      </c>
      <c r="M4" s="48" t="n">
        <v>643</v>
      </c>
      <c r="N4" s="65" t="n">
        <v>892.67</v>
      </c>
      <c r="O4" s="66" t="n"/>
      <c r="P4" s="66" t="n"/>
    </row>
    <row r="5">
      <c r="A5" s="28" t="n">
        <v>4</v>
      </c>
      <c r="B5" s="29" t="inlineStr">
        <is>
          <t>LACA PARA MADERA TRANSPARENTE AL 48% SÓLIDOS NITROCELULOSA DE 18 o 19 L.</t>
        </is>
      </c>
      <c r="C5" s="30" t="n">
        <v>1</v>
      </c>
      <c r="D5" s="30" t="inlineStr">
        <is>
          <t>CUBETA</t>
        </is>
      </c>
      <c r="E5" s="19" t="inlineStr">
        <is>
          <t>MEXICO</t>
        </is>
      </c>
      <c r="F5" s="28" t="n">
        <v>100</v>
      </c>
      <c r="G5" s="19" t="inlineStr">
        <is>
          <t>PINTOLUX</t>
        </is>
      </c>
      <c r="H5" s="31" t="inlineStr">
        <is>
          <t>2031-19</t>
        </is>
      </c>
      <c r="I5" s="63" t="n">
        <v>2775</v>
      </c>
      <c r="J5" s="33" t="n"/>
      <c r="K5" s="64" t="n"/>
      <c r="L5" s="34" t="inlineStr">
        <is>
          <t>pintolux</t>
        </is>
      </c>
      <c r="M5" s="48" t="n">
        <v>2775</v>
      </c>
      <c r="N5" s="65" t="n">
        <v>3929.72</v>
      </c>
      <c r="O5" s="66" t="n"/>
      <c r="P5" s="66" t="n"/>
    </row>
    <row r="6">
      <c r="A6" s="28" t="n">
        <v>5</v>
      </c>
      <c r="B6" s="29" t="inlineStr">
        <is>
          <t>LIJA (PARA PLOMERO ROLLO DE 1”X45 M, GRANO 120) CAJA /3 PIEZAS</t>
        </is>
      </c>
      <c r="C6" s="30" t="n">
        <v>1</v>
      </c>
      <c r="D6" s="30" t="inlineStr">
        <is>
          <t>CAJA</t>
        </is>
      </c>
      <c r="E6" s="19" t="inlineStr">
        <is>
          <t>MEXICO</t>
        </is>
      </c>
      <c r="F6" s="28" t="n">
        <v>100</v>
      </c>
      <c r="G6" s="40" t="inlineStr">
        <is>
          <t>SURTEK</t>
        </is>
      </c>
      <c r="H6" s="40" t="inlineStr">
        <is>
          <t>LR45120</t>
        </is>
      </c>
      <c r="I6" s="63" t="n">
        <v>1077</v>
      </c>
      <c r="J6" s="33" t="n"/>
      <c r="K6" s="64" t="n"/>
      <c r="L6" s="34" t="inlineStr">
        <is>
          <t>tools</t>
        </is>
      </c>
      <c r="M6" s="48" t="n"/>
      <c r="N6" s="65" t="n"/>
      <c r="O6" s="32" t="n">
        <v>1077</v>
      </c>
      <c r="P6" s="66" t="n"/>
    </row>
    <row r="7">
      <c r="A7" s="28" t="n">
        <v>6</v>
      </c>
      <c r="B7" s="29" t="inlineStr">
        <is>
          <t>LIJA DE BANDA 4” ANCHO, 24” LARGO 60 GRANO X-86 CAJA C/5 PIEZAS</t>
        </is>
      </c>
      <c r="C7" s="30" t="n">
        <v>1</v>
      </c>
      <c r="D7" s="30" t="inlineStr">
        <is>
          <t>CAJA</t>
        </is>
      </c>
      <c r="E7" s="19" t="inlineStr">
        <is>
          <t>MEXICO</t>
        </is>
      </c>
      <c r="F7" s="28" t="n">
        <v>100</v>
      </c>
      <c r="G7" s="40" t="inlineStr">
        <is>
          <t>TENAZIT</t>
        </is>
      </c>
      <c r="H7" s="40" t="n">
        <v>1045</v>
      </c>
      <c r="I7" s="63" t="n">
        <v>359</v>
      </c>
      <c r="J7" s="33" t="n"/>
      <c r="K7" s="64" t="n"/>
      <c r="L7" s="34" t="inlineStr">
        <is>
          <t>tools</t>
        </is>
      </c>
      <c r="M7" s="48" t="n"/>
      <c r="N7" s="65" t="n"/>
      <c r="O7" s="32" t="n">
        <v>359</v>
      </c>
      <c r="P7" s="66" t="n"/>
    </row>
    <row r="8">
      <c r="A8" s="28" t="n">
        <v>7</v>
      </c>
      <c r="B8" s="29" t="inlineStr">
        <is>
          <t>LIJA DE BANDA 4” ANCHO, 24” LARGO 80 GRANO X-86 CAJA C/5 PIEZAS</t>
        </is>
      </c>
      <c r="C8" s="30" t="n">
        <v>1</v>
      </c>
      <c r="D8" s="30" t="inlineStr">
        <is>
          <t>CAJA</t>
        </is>
      </c>
      <c r="E8" s="19" t="inlineStr">
        <is>
          <t>MEXICO</t>
        </is>
      </c>
      <c r="F8" s="28" t="n">
        <v>100</v>
      </c>
      <c r="G8" s="40" t="inlineStr">
        <is>
          <t>TENAZIT</t>
        </is>
      </c>
      <c r="H8" s="40" t="n">
        <v>1046</v>
      </c>
      <c r="I8" s="63" t="n">
        <v>349</v>
      </c>
      <c r="J8" s="33" t="n"/>
      <c r="K8" s="64" t="n"/>
      <c r="L8" s="34" t="inlineStr">
        <is>
          <t>tools</t>
        </is>
      </c>
      <c r="M8" s="48" t="n"/>
      <c r="N8" s="65" t="n"/>
      <c r="O8" s="32" t="n">
        <v>349</v>
      </c>
      <c r="P8" s="66" t="n"/>
    </row>
    <row r="9">
      <c r="A9" s="28" t="n">
        <v>8</v>
      </c>
      <c r="B9" s="29" t="inlineStr">
        <is>
          <t>LIJA DE BANDA 4” ANCHO, 24” LARGO 100 GRANO X-86 CAJA C/5 PIEZAS</t>
        </is>
      </c>
      <c r="C9" s="30" t="n">
        <v>1</v>
      </c>
      <c r="D9" s="30" t="inlineStr">
        <is>
          <t>CAJA</t>
        </is>
      </c>
      <c r="E9" s="19" t="inlineStr">
        <is>
          <t>MEXICO</t>
        </is>
      </c>
      <c r="F9" s="28" t="n">
        <v>100</v>
      </c>
      <c r="G9" s="40" t="inlineStr">
        <is>
          <t>TENAZIT</t>
        </is>
      </c>
      <c r="H9" s="31" t="n">
        <v>1047</v>
      </c>
      <c r="I9" s="63" t="n">
        <v>359</v>
      </c>
      <c r="J9" s="33" t="n"/>
      <c r="K9" s="64" t="n"/>
      <c r="L9" s="34" t="inlineStr">
        <is>
          <t>tools</t>
        </is>
      </c>
      <c r="M9" s="37" t="n"/>
      <c r="N9" s="65" t="n"/>
      <c r="O9" s="63" t="n">
        <v>359</v>
      </c>
      <c r="P9" s="66" t="n"/>
    </row>
    <row r="10">
      <c r="A10" s="28" t="n">
        <v>9</v>
      </c>
      <c r="B10" s="29" t="inlineStr">
        <is>
          <t>PEGAMENTO AMARILLO PARA PLÁSTICOS DUROS DE 18 LT.</t>
        </is>
      </c>
      <c r="C10" s="30" t="n">
        <v>1</v>
      </c>
      <c r="D10" s="30" t="inlineStr">
        <is>
          <t>BOTE</t>
        </is>
      </c>
      <c r="E10" s="19" t="inlineStr">
        <is>
          <t>MEXICO</t>
        </is>
      </c>
      <c r="F10" s="28" t="n">
        <v>100</v>
      </c>
      <c r="G10" s="19" t="inlineStr">
        <is>
          <t>SAYER LACK</t>
        </is>
      </c>
      <c r="H10" s="31" t="inlineStr">
        <is>
          <t>SP-0121</t>
        </is>
      </c>
      <c r="I10" s="66" t="n">
        <v>1302.53</v>
      </c>
      <c r="J10" s="33" t="n"/>
      <c r="K10" s="64" t="n"/>
      <c r="L10" s="34" t="inlineStr">
        <is>
          <t>sayer</t>
        </is>
      </c>
      <c r="M10" s="37" t="n"/>
      <c r="N10" s="65" t="n">
        <v>1302.53</v>
      </c>
      <c r="O10" s="66" t="n"/>
      <c r="P10" s="66" t="n"/>
    </row>
    <row r="11">
      <c r="A11" s="28" t="n">
        <v>10</v>
      </c>
      <c r="B11" s="29" t="inlineStr">
        <is>
          <t>PEGAMENTO PARA MADERA Y PAPEL BLANCO DE 18 LT.</t>
        </is>
      </c>
      <c r="C11" s="30" t="n">
        <v>1</v>
      </c>
      <c r="D11" s="30" t="inlineStr">
        <is>
          <t>BOTE</t>
        </is>
      </c>
      <c r="E11" s="19" t="inlineStr">
        <is>
          <t>MEXICO</t>
        </is>
      </c>
      <c r="F11" s="28" t="n">
        <v>100</v>
      </c>
      <c r="G11" s="19" t="inlineStr">
        <is>
          <t xml:space="preserve">NACIONAL </t>
        </is>
      </c>
      <c r="H11" s="31" t="n"/>
      <c r="I11" s="66" t="n">
        <v>1307</v>
      </c>
      <c r="J11" s="33" t="n"/>
      <c r="K11" s="64" t="n"/>
      <c r="L11" s="34" t="inlineStr">
        <is>
          <t>tools</t>
        </is>
      </c>
      <c r="M11" s="48" t="n">
        <v>1400</v>
      </c>
      <c r="N11" s="65" t="n">
        <v>2001.22</v>
      </c>
      <c r="O11" s="66" t="n">
        <v>1307</v>
      </c>
      <c r="P11" s="66" t="n"/>
    </row>
    <row r="12">
      <c r="A12" s="28" t="n">
        <v>11</v>
      </c>
      <c r="B12" s="29" t="inlineStr">
        <is>
          <t>PEGAMENTO PARA PISOS EN ROLLO DE 17 LTS U-7200)</t>
        </is>
      </c>
      <c r="C12" s="30" t="n">
        <v>1</v>
      </c>
      <c r="D12" s="30" t="inlineStr">
        <is>
          <t>CUBETA</t>
        </is>
      </c>
      <c r="E12" s="19" t="inlineStr">
        <is>
          <t>MEXICO</t>
        </is>
      </c>
      <c r="F12" s="28" t="n">
        <v>100</v>
      </c>
      <c r="G12" s="41" t="inlineStr">
        <is>
          <t>LIVING GREEN</t>
        </is>
      </c>
      <c r="H12" s="31" t="inlineStr">
        <is>
          <t>U-7200</t>
        </is>
      </c>
      <c r="I12" s="63" t="n">
        <v>2320</v>
      </c>
      <c r="J12" s="33" t="n"/>
      <c r="K12" s="64" t="n"/>
      <c r="L12" s="42" t="inlineStr">
        <is>
          <t xml:space="preserve">living green </t>
        </is>
      </c>
      <c r="M12" s="37" t="n"/>
      <c r="N12" s="65" t="n"/>
      <c r="O12" s="66" t="n"/>
      <c r="P12" s="66" t="n">
        <v>2320</v>
      </c>
      <c r="Q12" s="6" t="inlineStr">
        <is>
          <t>https://livingreenb2b.com.mx/producto/pegamento-de-contacto-17-lt-rinde-45-m2/</t>
        </is>
      </c>
    </row>
    <row r="13">
      <c r="A13" s="28" t="n">
        <v>12</v>
      </c>
      <c r="B13" s="29" t="inlineStr">
        <is>
          <t>PINTURA DE ESMALTE BLANCO SEMI MATE  DE 19 L.</t>
        </is>
      </c>
      <c r="C13" s="30" t="n">
        <v>1</v>
      </c>
      <c r="D13" s="30" t="inlineStr">
        <is>
          <t>CUBETA</t>
        </is>
      </c>
      <c r="E13" s="19" t="inlineStr">
        <is>
          <t>MEXICO</t>
        </is>
      </c>
      <c r="F13" s="28" t="n">
        <v>100</v>
      </c>
      <c r="G13" s="19" t="inlineStr">
        <is>
          <t>PINTOLUX</t>
        </is>
      </c>
      <c r="H13" s="31" t="inlineStr">
        <is>
          <t>1023-19</t>
        </is>
      </c>
      <c r="I13" s="63" t="n">
        <v>2720</v>
      </c>
      <c r="J13" s="33" t="n"/>
      <c r="K13" s="64" t="n"/>
      <c r="L13" s="34" t="inlineStr">
        <is>
          <t>pintolux</t>
        </is>
      </c>
      <c r="M13" s="48" t="n">
        <v>2720</v>
      </c>
      <c r="N13" s="65" t="n">
        <v>5236.69</v>
      </c>
      <c r="O13" s="66" t="n"/>
      <c r="P13" s="66" t="n"/>
    </row>
    <row r="14">
      <c r="A14" s="28" t="n">
        <v>13</v>
      </c>
      <c r="B14" s="29" t="inlineStr">
        <is>
          <t>PINTURA DE ESMALTE NEGRO SEMI MATE  DE 19 L</t>
        </is>
      </c>
      <c r="C14" s="30" t="n">
        <v>1</v>
      </c>
      <c r="D14" s="30" t="inlineStr">
        <is>
          <t>CUBETA</t>
        </is>
      </c>
      <c r="E14" s="19" t="inlineStr">
        <is>
          <t>MEXICO</t>
        </is>
      </c>
      <c r="F14" s="28" t="n">
        <v>100</v>
      </c>
      <c r="G14" s="19" t="inlineStr">
        <is>
          <t>PINTOLUX</t>
        </is>
      </c>
      <c r="H14" s="31" t="inlineStr">
        <is>
          <t>1024-19</t>
        </is>
      </c>
      <c r="I14" s="63" t="n">
        <v>2720</v>
      </c>
      <c r="J14" s="33" t="n"/>
      <c r="K14" s="64" t="n"/>
      <c r="L14" s="34" t="inlineStr">
        <is>
          <t>pintolux</t>
        </is>
      </c>
      <c r="M14" s="48" t="n">
        <v>2720</v>
      </c>
      <c r="N14" s="65" t="n">
        <v>5236.69</v>
      </c>
      <c r="O14" s="66" t="n"/>
      <c r="P14" s="66" t="n"/>
    </row>
    <row r="15" ht="25.5" customHeight="1">
      <c r="A15" s="28" t="n">
        <v>14</v>
      </c>
      <c r="B15" s="29" t="inlineStr">
        <is>
          <t>PINTURA DE ESMALTE GRIS CLARO SEMI MATE  DE 19 L</t>
        </is>
      </c>
      <c r="C15" s="30" t="n">
        <v>1</v>
      </c>
      <c r="D15" s="30" t="inlineStr">
        <is>
          <t>CUBETA</t>
        </is>
      </c>
      <c r="E15" s="19" t="inlineStr">
        <is>
          <t>MEXICO</t>
        </is>
      </c>
      <c r="F15" s="28" t="n">
        <v>100</v>
      </c>
      <c r="G15" s="19" t="inlineStr">
        <is>
          <t>PINTOLUX</t>
        </is>
      </c>
      <c r="H15" s="31" t="inlineStr">
        <is>
          <t>COLOR NUEVO</t>
        </is>
      </c>
      <c r="I15" s="63" t="n">
        <v>2720</v>
      </c>
      <c r="J15" s="33" t="n"/>
      <c r="K15" s="64" t="n"/>
      <c r="L15" s="34" t="inlineStr">
        <is>
          <t>pintolux</t>
        </is>
      </c>
      <c r="M15" s="48" t="n">
        <v>2720</v>
      </c>
      <c r="N15" s="65" t="n">
        <v>5236.69</v>
      </c>
      <c r="O15" s="66" t="n"/>
      <c r="P15" s="66" t="n"/>
    </row>
    <row r="16">
      <c r="A16" s="28" t="n">
        <v>15</v>
      </c>
      <c r="B16" s="29" t="inlineStr">
        <is>
          <t>PINTURA DE ESMALTE AMARILLO TRÁFICO 19 L</t>
        </is>
      </c>
      <c r="C16" s="30" t="n">
        <v>1</v>
      </c>
      <c r="D16" s="30" t="inlineStr">
        <is>
          <t>CUBETA</t>
        </is>
      </c>
      <c r="E16" s="19" t="inlineStr">
        <is>
          <t>MEXICO</t>
        </is>
      </c>
      <c r="F16" s="28" t="n">
        <v>100</v>
      </c>
      <c r="G16" s="19" t="inlineStr">
        <is>
          <t>PINTOLUX</t>
        </is>
      </c>
      <c r="H16" s="31" t="inlineStr">
        <is>
          <t>191090-1705</t>
        </is>
      </c>
      <c r="I16" s="63" t="n">
        <v>2720</v>
      </c>
      <c r="J16" s="33" t="n"/>
      <c r="K16" s="64" t="n"/>
      <c r="L16" s="34" t="inlineStr">
        <is>
          <t>pintolux</t>
        </is>
      </c>
      <c r="M16" s="48" t="n">
        <v>2720</v>
      </c>
      <c r="N16" s="65" t="n">
        <v>5236.69</v>
      </c>
      <c r="O16" s="66" t="n"/>
      <c r="P16" s="66" t="n"/>
    </row>
    <row r="17" ht="25.5" customHeight="1">
      <c r="A17" s="28" t="n">
        <v>16</v>
      </c>
      <c r="B17" s="29" t="inlineStr">
        <is>
          <t>PINTURA DE ESMALTE AMARILLO  19 L</t>
        </is>
      </c>
      <c r="C17" s="30" t="n">
        <v>1</v>
      </c>
      <c r="D17" s="30" t="inlineStr">
        <is>
          <t>CUBETA</t>
        </is>
      </c>
      <c r="E17" s="19" t="inlineStr">
        <is>
          <t>MEXICO</t>
        </is>
      </c>
      <c r="F17" s="28" t="n">
        <v>100</v>
      </c>
      <c r="G17" s="19" t="inlineStr">
        <is>
          <t>PINTOLUX</t>
        </is>
      </c>
      <c r="H17" s="31" t="inlineStr">
        <is>
          <t>COLOR NUEVO</t>
        </is>
      </c>
      <c r="I17" s="63" t="n">
        <v>2720</v>
      </c>
      <c r="J17" s="33" t="n"/>
      <c r="K17" s="64" t="n"/>
      <c r="L17" s="34" t="inlineStr">
        <is>
          <t>pintolux</t>
        </is>
      </c>
      <c r="M17" s="48" t="n">
        <v>2720</v>
      </c>
      <c r="N17" s="65" t="n">
        <v>5236.69</v>
      </c>
      <c r="O17" s="66" t="n"/>
      <c r="P17" s="66" t="n"/>
    </row>
    <row r="18" ht="25.5" customHeight="1">
      <c r="A18" s="28" t="n">
        <v>17</v>
      </c>
      <c r="B18" s="29" t="inlineStr">
        <is>
          <t>PINTURA DE ESMALTE AZUL HOLANDÉS BRILLANTE DE 19 L</t>
        </is>
      </c>
      <c r="C18" s="30" t="n">
        <v>1</v>
      </c>
      <c r="D18" s="30" t="inlineStr">
        <is>
          <t>CUBETA</t>
        </is>
      </c>
      <c r="E18" s="19" t="inlineStr">
        <is>
          <t>MEXICO</t>
        </is>
      </c>
      <c r="F18" s="28" t="n">
        <v>100</v>
      </c>
      <c r="G18" s="19" t="inlineStr">
        <is>
          <t>PINTOLUX</t>
        </is>
      </c>
      <c r="H18" s="31" t="inlineStr">
        <is>
          <t>COLOR NUEVO</t>
        </is>
      </c>
      <c r="I18" s="63" t="n">
        <v>2720</v>
      </c>
      <c r="J18" s="33" t="n"/>
      <c r="K18" s="64" t="n"/>
      <c r="L18" s="34" t="inlineStr">
        <is>
          <t>pintolux</t>
        </is>
      </c>
      <c r="M18" s="48" t="n">
        <v>2720</v>
      </c>
      <c r="N18" s="65" t="n">
        <v>5236.69</v>
      </c>
      <c r="O18" s="66" t="n"/>
      <c r="P18" s="66" t="n"/>
    </row>
    <row r="19">
      <c r="A19" s="28" t="n">
        <v>18</v>
      </c>
      <c r="B19" s="29" t="inlineStr">
        <is>
          <t>PINTURA DE ESMALTE AZUL REY DE 19 L</t>
        </is>
      </c>
      <c r="C19" s="30" t="n">
        <v>1</v>
      </c>
      <c r="D19" s="30" t="inlineStr">
        <is>
          <t>CUBETA</t>
        </is>
      </c>
      <c r="E19" s="19" t="inlineStr">
        <is>
          <t>MEXICO</t>
        </is>
      </c>
      <c r="F19" s="28" t="n">
        <v>100</v>
      </c>
      <c r="G19" s="19" t="inlineStr">
        <is>
          <t>PINTOLUX</t>
        </is>
      </c>
      <c r="H19" s="31" t="inlineStr">
        <is>
          <t>1046-19</t>
        </is>
      </c>
      <c r="I19" s="63" t="n">
        <v>2153</v>
      </c>
      <c r="J19" s="33" t="n"/>
      <c r="K19" s="64" t="n"/>
      <c r="L19" s="34" t="inlineStr">
        <is>
          <t>pintolux</t>
        </is>
      </c>
      <c r="M19" s="48" t="n">
        <v>2153</v>
      </c>
      <c r="N19" s="65" t="n">
        <v>5236.69</v>
      </c>
      <c r="O19" s="66" t="n"/>
      <c r="P19" s="66" t="n"/>
    </row>
    <row r="20">
      <c r="A20" s="28" t="n">
        <v>19</v>
      </c>
      <c r="B20" s="29" t="inlineStr">
        <is>
          <t>PINTURA DE ESMALTE BLANCO BASE AGUA DE 19 L</t>
        </is>
      </c>
      <c r="C20" s="30" t="n">
        <v>1</v>
      </c>
      <c r="D20" s="30" t="inlineStr">
        <is>
          <t>CUBETA</t>
        </is>
      </c>
      <c r="E20" s="19" t="inlineStr">
        <is>
          <t>MEXICO</t>
        </is>
      </c>
      <c r="F20" s="28" t="n">
        <v>100</v>
      </c>
      <c r="G20" s="19" t="inlineStr">
        <is>
          <t>SAYER LACK</t>
        </is>
      </c>
      <c r="H20" s="19" t="inlineStr">
        <is>
          <t>EH-0200</t>
        </is>
      </c>
      <c r="I20" s="66" t="n">
        <v>4731.99</v>
      </c>
      <c r="J20" s="33" t="n"/>
      <c r="K20" s="64" t="n"/>
      <c r="L20" s="34" t="inlineStr">
        <is>
          <t>sayer</t>
        </is>
      </c>
      <c r="M20" s="48" t="n"/>
      <c r="N20" s="65" t="n">
        <v>4731.99</v>
      </c>
      <c r="O20" s="66" t="n"/>
      <c r="P20" s="66" t="n"/>
    </row>
    <row r="21">
      <c r="A21" s="28" t="n">
        <v>20</v>
      </c>
      <c r="B21" s="29" t="inlineStr">
        <is>
          <t>PINTURA DE ESMALTE BLANCO BRILLANTE DE 19 L</t>
        </is>
      </c>
      <c r="C21" s="30" t="n">
        <v>1</v>
      </c>
      <c r="D21" s="30" t="inlineStr">
        <is>
          <t>CUBETA</t>
        </is>
      </c>
      <c r="E21" s="19" t="inlineStr">
        <is>
          <t>MEXICO</t>
        </is>
      </c>
      <c r="F21" s="28" t="n">
        <v>100</v>
      </c>
      <c r="G21" s="19" t="inlineStr">
        <is>
          <t>PINTOLUX</t>
        </is>
      </c>
      <c r="H21" s="31" t="inlineStr">
        <is>
          <t>1700-19</t>
        </is>
      </c>
      <c r="I21" s="63" t="n">
        <v>2297</v>
      </c>
      <c r="J21" s="33" t="n"/>
      <c r="K21" s="64" t="n"/>
      <c r="L21" s="34" t="inlineStr">
        <is>
          <t>pintolux</t>
        </is>
      </c>
      <c r="M21" s="48" t="n">
        <v>2297</v>
      </c>
      <c r="N21" s="65" t="n">
        <v>5236.69</v>
      </c>
      <c r="O21" s="66" t="n"/>
      <c r="P21" s="66" t="n"/>
    </row>
    <row r="22">
      <c r="A22" s="28" t="n">
        <v>21</v>
      </c>
      <c r="B22" s="29" t="inlineStr">
        <is>
          <t>PINTURA DE ESMALTE NEGRO BRILLANTE DE 19 L</t>
        </is>
      </c>
      <c r="C22" s="30" t="n">
        <v>1</v>
      </c>
      <c r="D22" s="30" t="inlineStr">
        <is>
          <t>CUBETA</t>
        </is>
      </c>
      <c r="E22" s="19" t="inlineStr">
        <is>
          <t>MEXICO</t>
        </is>
      </c>
      <c r="F22" s="28" t="n">
        <v>100</v>
      </c>
      <c r="G22" s="19" t="inlineStr">
        <is>
          <t>PINTOLUX</t>
        </is>
      </c>
      <c r="H22" s="31" t="inlineStr">
        <is>
          <t>1723-19</t>
        </is>
      </c>
      <c r="I22" s="63" t="n">
        <v>2297</v>
      </c>
      <c r="J22" s="33" t="n"/>
      <c r="K22" s="64" t="n"/>
      <c r="L22" s="34" t="inlineStr">
        <is>
          <t>pintolux</t>
        </is>
      </c>
      <c r="M22" s="48" t="n">
        <v>2297</v>
      </c>
      <c r="N22" s="65" t="n">
        <v>5236.69</v>
      </c>
      <c r="O22" s="66" t="n"/>
      <c r="P22" s="66" t="n"/>
    </row>
    <row r="23" ht="25.5" customHeight="1">
      <c r="A23" s="28" t="n">
        <v>22</v>
      </c>
      <c r="B23" s="29" t="inlineStr">
        <is>
          <t>PINTURA DE ESMALTE ROJO BRILLANTE DE 19 L</t>
        </is>
      </c>
      <c r="C23" s="30" t="n">
        <v>1</v>
      </c>
      <c r="D23" s="30" t="inlineStr">
        <is>
          <t>CUBETA</t>
        </is>
      </c>
      <c r="E23" s="19" t="inlineStr">
        <is>
          <t>MEXICO</t>
        </is>
      </c>
      <c r="F23" s="28" t="n">
        <v>100</v>
      </c>
      <c r="G23" s="19" t="inlineStr">
        <is>
          <t>PINTOLUX</t>
        </is>
      </c>
      <c r="H23" s="31" t="inlineStr">
        <is>
          <t>COLOR NUEVO</t>
        </is>
      </c>
      <c r="I23" s="63" t="n">
        <v>2297</v>
      </c>
      <c r="J23" s="33" t="n"/>
      <c r="K23" s="64" t="n"/>
      <c r="L23" s="34" t="inlineStr">
        <is>
          <t>pintolux</t>
        </is>
      </c>
      <c r="M23" s="48" t="n">
        <v>2297</v>
      </c>
      <c r="N23" s="65" t="n">
        <v>5236.69</v>
      </c>
      <c r="O23" s="66" t="n"/>
      <c r="P23" s="66" t="n"/>
    </row>
    <row r="24">
      <c r="A24" s="28" t="n">
        <v>23</v>
      </c>
      <c r="B24" s="29" t="inlineStr">
        <is>
          <t xml:space="preserve">PINTURA VINILICA AZUL REY  MATE DE 19 L </t>
        </is>
      </c>
      <c r="C24" s="30" t="n">
        <v>1</v>
      </c>
      <c r="D24" s="30" t="inlineStr">
        <is>
          <t>CUBETA</t>
        </is>
      </c>
      <c r="E24" s="19" t="inlineStr">
        <is>
          <t>MEXICO</t>
        </is>
      </c>
      <c r="F24" s="28" t="n">
        <v>100</v>
      </c>
      <c r="G24" s="19" t="inlineStr">
        <is>
          <t>PINTOLUX</t>
        </is>
      </c>
      <c r="H24" s="31" t="inlineStr">
        <is>
          <t>616-19</t>
        </is>
      </c>
      <c r="I24" s="63" t="n">
        <v>2016</v>
      </c>
      <c r="J24" s="33" t="n"/>
      <c r="K24" s="64" t="n"/>
      <c r="L24" s="34" t="inlineStr">
        <is>
          <t>pintolux</t>
        </is>
      </c>
      <c r="M24" s="48" t="n">
        <v>2016</v>
      </c>
      <c r="N24" s="65" t="n">
        <v>2527.48</v>
      </c>
      <c r="O24" s="66" t="n"/>
      <c r="P24" s="66" t="n"/>
    </row>
    <row r="25">
      <c r="A25" s="28" t="n">
        <v>24</v>
      </c>
      <c r="B25" s="29" t="inlineStr">
        <is>
          <t>PINTURA VINILICA GRIS MATE DE 19 L</t>
        </is>
      </c>
      <c r="C25" s="30" t="n">
        <v>1</v>
      </c>
      <c r="D25" s="30" t="inlineStr">
        <is>
          <t>CUBETA</t>
        </is>
      </c>
      <c r="E25" s="19" t="inlineStr">
        <is>
          <t>MEXICO</t>
        </is>
      </c>
      <c r="F25" s="28" t="n">
        <v>100</v>
      </c>
      <c r="G25" s="19" t="inlineStr">
        <is>
          <t>PINTOLUX</t>
        </is>
      </c>
      <c r="H25" s="31" t="inlineStr">
        <is>
          <t>190690-GRAC</t>
        </is>
      </c>
      <c r="I25" s="63" t="n">
        <v>2016</v>
      </c>
      <c r="J25" s="33" t="n"/>
      <c r="K25" s="64" t="n"/>
      <c r="L25" s="34" t="inlineStr">
        <is>
          <t>pintolux</t>
        </is>
      </c>
      <c r="M25" s="48" t="n">
        <v>2016</v>
      </c>
      <c r="N25" s="65" t="n">
        <v>2527.48</v>
      </c>
      <c r="O25" s="66" t="n"/>
      <c r="P25" s="66" t="n"/>
    </row>
    <row r="26">
      <c r="A26" s="28" t="n">
        <v>25</v>
      </c>
      <c r="B26" s="29" t="inlineStr">
        <is>
          <t>PINTURA VINILICA NEGRA MATE DE 19 L</t>
        </is>
      </c>
      <c r="C26" s="30" t="n">
        <v>1</v>
      </c>
      <c r="D26" s="30" t="inlineStr">
        <is>
          <t>CUBETA</t>
        </is>
      </c>
      <c r="E26" s="19" t="inlineStr">
        <is>
          <t>MEXICO</t>
        </is>
      </c>
      <c r="F26" s="28" t="n">
        <v>100</v>
      </c>
      <c r="G26" s="19" t="inlineStr">
        <is>
          <t>PINTOLUX</t>
        </is>
      </c>
      <c r="H26" s="31" t="inlineStr">
        <is>
          <t>621-19</t>
        </is>
      </c>
      <c r="I26" s="63" t="n">
        <v>2016</v>
      </c>
      <c r="J26" s="33" t="n"/>
      <c r="K26" s="64" t="n"/>
      <c r="L26" s="34" t="inlineStr">
        <is>
          <t>pintolux</t>
        </is>
      </c>
      <c r="M26" s="48" t="n">
        <v>2016</v>
      </c>
      <c r="N26" s="65" t="n">
        <v>2527.48</v>
      </c>
      <c r="O26" s="66" t="n"/>
      <c r="P26" s="66" t="n"/>
    </row>
    <row r="27">
      <c r="A27" s="28" t="n">
        <v>26</v>
      </c>
      <c r="B27" s="29" t="inlineStr">
        <is>
          <t xml:space="preserve">PINTURA EPÓXICA AZUL 19 L </t>
        </is>
      </c>
      <c r="C27" s="30" t="n">
        <v>1</v>
      </c>
      <c r="D27" s="30" t="inlineStr">
        <is>
          <t>CUBETA</t>
        </is>
      </c>
      <c r="E27" s="19" t="inlineStr">
        <is>
          <t>MEXICO</t>
        </is>
      </c>
      <c r="F27" s="28" t="n">
        <v>100</v>
      </c>
      <c r="G27" s="19" t="inlineStr">
        <is>
          <t>SAYER LACK</t>
        </is>
      </c>
      <c r="H27" s="31" t="inlineStr">
        <is>
          <t>ic-1xxx</t>
        </is>
      </c>
      <c r="I27" s="63" t="n">
        <v>10913.86</v>
      </c>
      <c r="J27" s="33" t="n"/>
      <c r="K27" s="64" t="n"/>
      <c r="L27" s="34" t="inlineStr">
        <is>
          <t>sayer</t>
        </is>
      </c>
      <c r="M27" s="37" t="n"/>
      <c r="N27" s="63" t="n">
        <v>10913.86</v>
      </c>
      <c r="O27" s="66" t="n"/>
      <c r="P27" s="66" t="n"/>
    </row>
    <row r="28">
      <c r="A28" s="28" t="n">
        <v>27</v>
      </c>
      <c r="B28" s="29" t="inlineStr">
        <is>
          <t>PINTURA VINILICA BLANCA MATE DE 19 L</t>
        </is>
      </c>
      <c r="C28" s="30" t="n">
        <v>1</v>
      </c>
      <c r="D28" s="30" t="inlineStr">
        <is>
          <t>CUBETA</t>
        </is>
      </c>
      <c r="E28" s="19" t="inlineStr">
        <is>
          <t>MEXICO</t>
        </is>
      </c>
      <c r="F28" s="28" t="n">
        <v>100</v>
      </c>
      <c r="G28" s="19" t="inlineStr">
        <is>
          <t>PINTOLUX</t>
        </is>
      </c>
      <c r="H28" s="31" t="inlineStr">
        <is>
          <t>600-19</t>
        </is>
      </c>
      <c r="I28" s="63" t="n">
        <v>2016</v>
      </c>
      <c r="J28" s="33" t="n"/>
      <c r="K28" s="64" t="n"/>
      <c r="L28" s="34" t="inlineStr">
        <is>
          <t>pintolux</t>
        </is>
      </c>
      <c r="M28" s="48" t="n">
        <v>2016</v>
      </c>
      <c r="N28" s="65" t="n">
        <v>2527.48</v>
      </c>
      <c r="O28" s="66" t="n"/>
      <c r="P28" s="66" t="n"/>
    </row>
    <row r="29" ht="25.5" customHeight="1">
      <c r="A29" s="28" t="n">
        <v>28</v>
      </c>
      <c r="B29" s="29" t="inlineStr">
        <is>
          <t>SOLVENTE PARA PINTURA (THINNER ESTÁNDAR DE 20 L, VARIACIÓN DE +/- 3% DE CAPACIDAD DEL RECIPIENTE).</t>
        </is>
      </c>
      <c r="C29" s="30" t="n">
        <v>1</v>
      </c>
      <c r="D29" s="30" t="inlineStr">
        <is>
          <t>BOTE</t>
        </is>
      </c>
      <c r="E29" s="19" t="inlineStr">
        <is>
          <t>MEXICO</t>
        </is>
      </c>
      <c r="F29" s="28" t="n">
        <v>100</v>
      </c>
      <c r="G29" s="19" t="inlineStr">
        <is>
          <t xml:space="preserve">NACIONAL </t>
        </is>
      </c>
      <c r="H29" s="31" t="n"/>
      <c r="I29" s="66" t="n">
        <v>1100</v>
      </c>
      <c r="J29" s="33" t="n"/>
      <c r="K29" s="64" t="n"/>
      <c r="L29" s="34" t="inlineStr">
        <is>
          <t>tools</t>
        </is>
      </c>
      <c r="M29" s="37" t="n"/>
      <c r="N29" s="65" t="n"/>
      <c r="O29" s="66" t="n">
        <v>1100</v>
      </c>
      <c r="P29" s="66" t="n"/>
    </row>
    <row r="30">
      <c r="A30" s="28" t="n">
        <v>29</v>
      </c>
      <c r="B30" s="29" t="inlineStr">
        <is>
          <t>SOLVENTE PARA POLIURETANO PINTURA(N-85 DE 20 L).</t>
        </is>
      </c>
      <c r="C30" s="30" t="n">
        <v>1</v>
      </c>
      <c r="D30" s="30" t="inlineStr">
        <is>
          <t>PIEZA</t>
        </is>
      </c>
      <c r="E30" s="19" t="inlineStr">
        <is>
          <t>MEXICO</t>
        </is>
      </c>
      <c r="F30" s="28" t="n">
        <v>100</v>
      </c>
      <c r="G30" s="19" t="inlineStr">
        <is>
          <t>SAYER LACK</t>
        </is>
      </c>
      <c r="H30" s="19" t="inlineStr">
        <is>
          <t>D-0500</t>
        </is>
      </c>
      <c r="I30" s="66" t="n">
        <v>2758.48</v>
      </c>
      <c r="J30" s="33" t="n"/>
      <c r="K30" s="64" t="n"/>
      <c r="L30" s="34" t="inlineStr">
        <is>
          <t>sayer</t>
        </is>
      </c>
      <c r="M30" s="37" t="n"/>
      <c r="N30" s="65" t="n">
        <v>2758.48</v>
      </c>
      <c r="O30" s="66" t="n"/>
      <c r="P30" s="66" t="n"/>
    </row>
    <row r="31">
      <c r="A31" s="28" t="n">
        <v>30</v>
      </c>
      <c r="B31" s="29" t="inlineStr">
        <is>
          <t>TINACO DE  1100 L</t>
        </is>
      </c>
      <c r="C31" s="30" t="n">
        <v>1</v>
      </c>
      <c r="D31" s="30" t="inlineStr">
        <is>
          <t>PIEZA</t>
        </is>
      </c>
      <c r="E31" s="19" t="inlineStr">
        <is>
          <t>MEXICO</t>
        </is>
      </c>
      <c r="F31" s="28" t="n">
        <v>100</v>
      </c>
      <c r="G31" s="19" t="inlineStr">
        <is>
          <t>ROTOPLAS</t>
        </is>
      </c>
      <c r="H31" s="31" t="n">
        <v>500472</v>
      </c>
      <c r="I31" s="63" t="n">
        <v>3480.94</v>
      </c>
      <c r="J31" s="33" t="n"/>
      <c r="K31" s="64" t="n"/>
      <c r="L31" s="34" t="inlineStr">
        <is>
          <t>surtidor</t>
        </is>
      </c>
      <c r="M31" s="37" t="n"/>
      <c r="N31" s="65" t="n"/>
      <c r="O31" s="66" t="n"/>
      <c r="P31" s="66" t="n">
        <v>3480.94</v>
      </c>
      <c r="Q31" s="6" t="inlineStr">
        <is>
          <t>https://www.surtidor.com/tinaco-plus-rotaplas-de-1100l-equipado-con-filtro-y-accesorios-500472-beige.html?rmk_carritos&amp;gad_source=1&amp;gad_campaignid=23699951479&amp;gbraid=0AAAAADz8_6h-3TsG85QKEdJo_Ow85IFiP&amp;gclid=Cj0KCQjwg5zTBhCLARIsAP2AFU5E33U5mwJfY2_jnAxOApyEMb4U1RrdgetbiKzMJrdW8eCqH3tmTB8aAkbNEALw_wcB</t>
        </is>
      </c>
    </row>
    <row r="32">
      <c r="A32" s="28" t="n">
        <v>31</v>
      </c>
      <c r="B32" s="29" t="inlineStr">
        <is>
          <t xml:space="preserve">TINACO (CISTERNA) DE  2800 L </t>
        </is>
      </c>
      <c r="C32" s="30" t="n">
        <v>1</v>
      </c>
      <c r="D32" s="30" t="inlineStr">
        <is>
          <t>PIEZA</t>
        </is>
      </c>
      <c r="E32" s="19" t="inlineStr">
        <is>
          <t>MEXICO</t>
        </is>
      </c>
      <c r="F32" s="28" t="n">
        <v>100</v>
      </c>
      <c r="G32" s="19" t="inlineStr">
        <is>
          <t>ROTOPLAS</t>
        </is>
      </c>
      <c r="H32" s="31" t="n">
        <v>510157</v>
      </c>
      <c r="I32" s="63" t="n">
        <v>13533.41</v>
      </c>
      <c r="J32" s="33" t="n"/>
      <c r="K32" s="64" t="n"/>
      <c r="L32" s="34" t="inlineStr">
        <is>
          <t>surtidor</t>
        </is>
      </c>
      <c r="M32" s="37" t="n"/>
      <c r="N32" s="65" t="n"/>
      <c r="O32" s="66" t="n"/>
      <c r="P32" s="66" t="n">
        <v>13533.41</v>
      </c>
      <c r="Q32" s="6" t="inlineStr">
        <is>
          <t>https://www.surtidor.com/tinaco-cisterna-rotoplas-16079905135.html?rmk_carritos&amp;gad_source=1&amp;gad_campaignid=23699951479&amp;gbraid=0AAAAADz8_6h-3TsG85QKEdJo_Ow85IFiP&amp;gclid=Cj0KCQjwg5zTBhCLARIsAP2AFU4H5ELISVJ1amjmLMBBJn8y7oUR5KA-gtqHXlZZ3fVWAJdzj0RwKgUaAue0EALw_wcB</t>
        </is>
      </c>
    </row>
    <row r="33">
      <c r="A33" s="28" t="n">
        <v>32</v>
      </c>
      <c r="B33" s="29" t="inlineStr">
        <is>
          <t>SILICÓN TRANSPARENTE, DE USO GENERAL DE 300 ML (TIPO CARTUCHO)</t>
        </is>
      </c>
      <c r="C33" s="30" t="n">
        <v>1</v>
      </c>
      <c r="D33" s="30" t="inlineStr">
        <is>
          <t>PIEZA</t>
        </is>
      </c>
      <c r="E33" s="19" t="inlineStr">
        <is>
          <t>MEXICO</t>
        </is>
      </c>
      <c r="F33" s="28" t="n">
        <v>100</v>
      </c>
      <c r="G33" s="19" t="inlineStr">
        <is>
          <t>SAYER LACK</t>
        </is>
      </c>
      <c r="H33" s="19" t="inlineStr">
        <is>
          <t>HKL100212</t>
        </is>
      </c>
      <c r="I33" s="66" t="n">
        <v>158.38</v>
      </c>
      <c r="J33" s="33" t="n"/>
      <c r="K33" s="64" t="n"/>
      <c r="L33" s="34" t="inlineStr">
        <is>
          <t>sayer</t>
        </is>
      </c>
      <c r="M33" s="37" t="n"/>
      <c r="N33" s="65" t="n">
        <v>158.38</v>
      </c>
      <c r="O33" s="66" t="n"/>
      <c r="P33" s="66" t="n"/>
    </row>
    <row r="34">
      <c r="A34" s="28" t="n">
        <v>33</v>
      </c>
      <c r="B34" s="29" t="inlineStr">
        <is>
          <t>SILICÓN BLANCO ANTI HONGOS  DE 300 ML (TIPO CARTUCHO)</t>
        </is>
      </c>
      <c r="C34" s="30" t="n">
        <v>1</v>
      </c>
      <c r="D34" s="30" t="inlineStr">
        <is>
          <t>PIEZA</t>
        </is>
      </c>
      <c r="E34" s="19" t="inlineStr">
        <is>
          <t>MEXICO</t>
        </is>
      </c>
      <c r="F34" s="28" t="n">
        <v>100</v>
      </c>
      <c r="G34" s="19" t="inlineStr">
        <is>
          <t>SAYER LACK</t>
        </is>
      </c>
      <c r="H34" s="19" t="inlineStr">
        <is>
          <t>HKL100222</t>
        </is>
      </c>
      <c r="I34" s="66" t="n">
        <v>136.44</v>
      </c>
      <c r="J34" s="33" t="n"/>
      <c r="K34" s="64" t="n"/>
      <c r="L34" s="34" t="inlineStr">
        <is>
          <t>sayer</t>
        </is>
      </c>
      <c r="M34" s="37" t="n"/>
      <c r="N34" s="65" t="n">
        <v>136.44</v>
      </c>
      <c r="O34" s="66" t="n"/>
      <c r="P34" s="66" t="n"/>
    </row>
    <row r="35">
      <c r="A35" s="28" t="n">
        <v>34</v>
      </c>
      <c r="B35" s="29" t="inlineStr">
        <is>
          <t>DISCO PARA ESMERIL (CORTE DIAMANTE 4 1/2”), RIN CONTINUO ACABADO FINO  C/4 PIEZAS</t>
        </is>
      </c>
      <c r="C35" s="30" t="n">
        <v>1</v>
      </c>
      <c r="D35" s="30" t="inlineStr">
        <is>
          <t>CAJA</t>
        </is>
      </c>
      <c r="E35" s="19" t="inlineStr">
        <is>
          <t>MEXICO</t>
        </is>
      </c>
      <c r="F35" s="28" t="n">
        <v>100</v>
      </c>
      <c r="G35" s="19" t="inlineStr">
        <is>
          <t>URREA</t>
        </is>
      </c>
      <c r="H35" s="31" t="inlineStr">
        <is>
          <t>DDIC45</t>
        </is>
      </c>
      <c r="I35" s="66" t="n">
        <v>236.8</v>
      </c>
      <c r="J35" s="33" t="n"/>
      <c r="K35" s="64" t="n"/>
      <c r="L35" s="34" t="inlineStr">
        <is>
          <t>tools</t>
        </is>
      </c>
      <c r="M35" s="37" t="n"/>
      <c r="N35" s="65" t="n"/>
      <c r="O35" s="66" t="n">
        <v>236.8</v>
      </c>
      <c r="P35" s="66" t="n"/>
    </row>
    <row r="36" ht="25.5" customHeight="1">
      <c r="A36" s="28" t="n">
        <v>35</v>
      </c>
      <c r="B36" s="29" t="inlineStr">
        <is>
          <t>DISCO PARA ESMERIL (CORTE DE METAL CORTE EXTRA FINO TIPO NAVAJA DE 4 1/2”, ESPESOR 1.2 MM) C/5 PIEZAS</t>
        </is>
      </c>
      <c r="C36" s="30" t="n">
        <v>1</v>
      </c>
      <c r="D36" s="30" t="inlineStr">
        <is>
          <t>CAJA</t>
        </is>
      </c>
      <c r="E36" s="19" t="inlineStr">
        <is>
          <t>MEXICO</t>
        </is>
      </c>
      <c r="F36" s="28" t="n">
        <v>100</v>
      </c>
      <c r="G36" s="19" t="inlineStr">
        <is>
          <t>AUSTROMEX</t>
        </is>
      </c>
      <c r="H36" s="31" t="n"/>
      <c r="I36" s="66" t="n">
        <v>801</v>
      </c>
      <c r="J36" s="33" t="n"/>
      <c r="K36" s="64" t="n"/>
      <c r="L36" s="34" t="inlineStr">
        <is>
          <t>tools</t>
        </is>
      </c>
      <c r="M36" s="37" t="n"/>
      <c r="N36" s="65" t="n"/>
      <c r="O36" s="66" t="n">
        <v>801</v>
      </c>
      <c r="P36" s="66" t="n"/>
    </row>
    <row r="37">
      <c r="A37" s="28" t="n">
        <v>36</v>
      </c>
      <c r="B37" s="29" t="inlineStr">
        <is>
          <t>DISCO PARA ESMERIL (CORTE GRUESO DE 4 1/2”, 3.2 MM C/5 PIEZAS)</t>
        </is>
      </c>
      <c r="C37" s="30" t="n">
        <v>1</v>
      </c>
      <c r="D37" s="30" t="inlineStr">
        <is>
          <t>CAJA</t>
        </is>
      </c>
      <c r="E37" s="19" t="inlineStr">
        <is>
          <t>MEXICO</t>
        </is>
      </c>
      <c r="F37" s="28" t="n">
        <v>100</v>
      </c>
      <c r="G37" s="19" t="inlineStr">
        <is>
          <t>SURTEK</t>
        </is>
      </c>
      <c r="H37" s="31" t="n">
        <v>128203</v>
      </c>
      <c r="I37" s="66" t="n">
        <v>801</v>
      </c>
      <c r="J37" s="33" t="n"/>
      <c r="K37" s="64" t="n"/>
      <c r="L37" s="34" t="inlineStr">
        <is>
          <t>tools</t>
        </is>
      </c>
      <c r="M37" s="37" t="n"/>
      <c r="N37" s="65" t="n"/>
      <c r="O37" s="66" t="n">
        <v>801</v>
      </c>
      <c r="P37" s="66" t="n"/>
      <c r="Q37" s="6" t="inlineStr">
        <is>
          <t>https://www.mercadolibre.com.mx/disco-abrasivo-tipo-1-para-metal-412--x-12-mm-5-pzs/up/MLMU3533073982</t>
        </is>
      </c>
    </row>
    <row r="38">
      <c r="A38" s="28" t="n">
        <v>37</v>
      </c>
      <c r="B38" s="29" t="inlineStr">
        <is>
          <t>DISCO PARA ESMERIL (DESBASTE DE 4 1/2”, ESPESOR DE 6.5 MM, C/5 PIEZAS)</t>
        </is>
      </c>
      <c r="C38" s="30" t="n">
        <v>1</v>
      </c>
      <c r="D38" s="30" t="inlineStr">
        <is>
          <t>CAJA</t>
        </is>
      </c>
      <c r="E38" s="19" t="inlineStr">
        <is>
          <t>MEXICO</t>
        </is>
      </c>
      <c r="F38" s="28" t="n">
        <v>100</v>
      </c>
      <c r="G38" s="19" t="inlineStr">
        <is>
          <t>TRUPER</t>
        </is>
      </c>
      <c r="H38" s="31" t="n">
        <v>12565</v>
      </c>
      <c r="I38" s="63" t="n">
        <v>165</v>
      </c>
      <c r="J38" s="33" t="n"/>
      <c r="K38" s="64" t="n"/>
      <c r="L38" s="34" t="inlineStr">
        <is>
          <t>tools</t>
        </is>
      </c>
      <c r="M38" s="37" t="n"/>
      <c r="N38" s="65" t="n"/>
      <c r="O38" s="66" t="n"/>
      <c r="P38" s="66" t="n">
        <v>165</v>
      </c>
    </row>
    <row r="39">
      <c r="A39" s="28" t="n">
        <v>38</v>
      </c>
      <c r="B39" s="29" t="inlineStr">
        <is>
          <t>DISCO PARA ESMERIL (DE LIJA LAMINADO DE 4 1/2",GRANO 60, C/5 PIEZAS)</t>
        </is>
      </c>
      <c r="C39" s="30" t="n">
        <v>1</v>
      </c>
      <c r="D39" s="30" t="inlineStr">
        <is>
          <t>CAJA</t>
        </is>
      </c>
      <c r="E39" s="19" t="n"/>
      <c r="F39" s="28" t="n">
        <v>100</v>
      </c>
      <c r="G39" s="19" t="inlineStr">
        <is>
          <t>FOY</t>
        </is>
      </c>
      <c r="H39" s="31" t="n"/>
      <c r="I39" s="66" t="n">
        <v>245</v>
      </c>
      <c r="J39" s="33" t="n"/>
      <c r="K39" s="64" t="n"/>
      <c r="L39" s="34" t="inlineStr">
        <is>
          <t>tools</t>
        </is>
      </c>
      <c r="M39" s="37" t="n"/>
      <c r="N39" s="65" t="n"/>
      <c r="O39" s="66" t="n">
        <v>245</v>
      </c>
      <c r="P39" s="66" t="n"/>
    </row>
    <row r="40">
      <c r="A40" s="28" t="n">
        <v>39</v>
      </c>
      <c r="B40" s="29" t="inlineStr">
        <is>
          <t>DISCO PARA ESMERIL (DE LIJA LAMINADO DE 4 1/2",GRANO 80, C/5 PIEZAS)</t>
        </is>
      </c>
      <c r="C40" s="30" t="n">
        <v>1</v>
      </c>
      <c r="D40" s="30" t="inlineStr">
        <is>
          <t>CAJA</t>
        </is>
      </c>
      <c r="E40" s="19" t="n"/>
      <c r="F40" s="28" t="n">
        <v>100</v>
      </c>
      <c r="G40" s="19" t="inlineStr">
        <is>
          <t>FOY</t>
        </is>
      </c>
      <c r="H40" s="31" t="n"/>
      <c r="I40" s="66" t="n">
        <v>245</v>
      </c>
      <c r="J40" s="33" t="n"/>
      <c r="K40" s="64" t="n"/>
      <c r="L40" s="34" t="inlineStr">
        <is>
          <t>tools</t>
        </is>
      </c>
      <c r="M40" s="37" t="n"/>
      <c r="N40" s="65" t="n"/>
      <c r="O40" s="66" t="n">
        <v>245</v>
      </c>
      <c r="P40" s="66" t="n"/>
    </row>
    <row r="41">
      <c r="A41" s="28" t="n">
        <v>40</v>
      </c>
      <c r="B41" s="29" t="inlineStr">
        <is>
          <t>RODILLO (EXTENSIÓN PARA, DE 2 M)</t>
        </is>
      </c>
      <c r="C41" s="30" t="n">
        <v>1</v>
      </c>
      <c r="D41" s="30" t="inlineStr">
        <is>
          <t>PIEZA</t>
        </is>
      </c>
      <c r="E41" s="19" t="inlineStr">
        <is>
          <t>MEXICO</t>
        </is>
      </c>
      <c r="F41" s="28" t="n">
        <v>100</v>
      </c>
      <c r="G41" s="19" t="inlineStr">
        <is>
          <t>PINTOLUX</t>
        </is>
      </c>
      <c r="H41" s="31" t="inlineStr">
        <is>
          <t>EMSPLX24</t>
        </is>
      </c>
      <c r="I41" s="63" t="n">
        <v>48</v>
      </c>
      <c r="J41" s="33" t="n"/>
      <c r="K41" s="64" t="n"/>
      <c r="L41" s="34" t="inlineStr">
        <is>
          <t>pintolux</t>
        </is>
      </c>
      <c r="M41" s="48" t="n">
        <v>48</v>
      </c>
      <c r="N41" s="65" t="n"/>
      <c r="O41" s="66" t="n"/>
      <c r="P41" s="66" t="n"/>
    </row>
    <row r="42">
      <c r="A42" s="28" t="n">
        <v>41</v>
      </c>
      <c r="B42" s="29" t="inlineStr">
        <is>
          <t>RODILLO (EXTENSIÓN PARA, DE 3.6 M)</t>
        </is>
      </c>
      <c r="C42" s="30" t="n">
        <v>1</v>
      </c>
      <c r="D42" s="30" t="inlineStr">
        <is>
          <t>PIEZA</t>
        </is>
      </c>
      <c r="E42" s="19" t="inlineStr">
        <is>
          <t>MEXICO</t>
        </is>
      </c>
      <c r="F42" s="28" t="n">
        <v>100</v>
      </c>
      <c r="G42" s="19" t="inlineStr">
        <is>
          <t>PINTOLUX</t>
        </is>
      </c>
      <c r="H42" s="31" t="inlineStr">
        <is>
          <t>EMSPLX30</t>
        </is>
      </c>
      <c r="I42" s="63" t="n">
        <v>57</v>
      </c>
      <c r="J42" s="33" t="n"/>
      <c r="K42" s="64" t="n"/>
      <c r="L42" s="34" t="inlineStr">
        <is>
          <t>pintolux</t>
        </is>
      </c>
      <c r="M42" s="48" t="n">
        <v>57</v>
      </c>
      <c r="N42" s="65" t="n"/>
      <c r="O42" s="66" t="n"/>
      <c r="P42" s="66" t="n"/>
    </row>
    <row r="43" ht="32.65" customHeight="1">
      <c r="A43" s="28" t="n">
        <v>42</v>
      </c>
      <c r="B43" s="29" t="inlineStr">
        <is>
          <t>RODILLO DE 4” +/- 5% DE ESPONJA CON BASE, PARA SUPERFICIES LISAS</t>
        </is>
      </c>
      <c r="C43" s="30" t="n">
        <v>1</v>
      </c>
      <c r="D43" s="30" t="inlineStr">
        <is>
          <t>PIEZA</t>
        </is>
      </c>
      <c r="E43" s="19" t="inlineStr">
        <is>
          <t>MEXICO</t>
        </is>
      </c>
      <c r="F43" s="28" t="n">
        <v>100</v>
      </c>
      <c r="G43" s="19" t="inlineStr">
        <is>
          <t>PINTOLUX</t>
        </is>
      </c>
      <c r="H43" s="31" t="inlineStr">
        <is>
          <t>MMRPLX14 + FMEPLX34</t>
        </is>
      </c>
      <c r="I43" s="63" t="n">
        <v>22</v>
      </c>
      <c r="J43" s="33" t="n"/>
      <c r="K43" s="64" t="n"/>
      <c r="L43" s="34" t="inlineStr">
        <is>
          <t>pintolux</t>
        </is>
      </c>
      <c r="M43" s="48" t="n">
        <v>22</v>
      </c>
      <c r="N43" s="65" t="n"/>
      <c r="O43" s="66" t="n"/>
      <c r="P43" s="66" t="n"/>
    </row>
    <row r="44" ht="37.35" customHeight="1">
      <c r="A44" s="28" t="n">
        <v>43</v>
      </c>
      <c r="B44" s="29" t="inlineStr">
        <is>
          <t>RODILLO PARA PINTAR SUPERFICIES  LISAS, C/6 PIEZAS DE 225 X 19 MM +/- 5%</t>
        </is>
      </c>
      <c r="C44" s="30" t="n">
        <v>1</v>
      </c>
      <c r="D44" s="30" t="inlineStr">
        <is>
          <t>PAQUETE</t>
        </is>
      </c>
      <c r="E44" s="19" t="inlineStr">
        <is>
          <t>MEXICO</t>
        </is>
      </c>
      <c r="F44" s="28" t="n">
        <v>100</v>
      </c>
      <c r="G44" s="19" t="inlineStr">
        <is>
          <t>PINTOLUX</t>
        </is>
      </c>
      <c r="H44" s="31" t="inlineStr">
        <is>
          <t>MSPPLX19 + FADPLX19</t>
        </is>
      </c>
      <c r="I44" s="63" t="n">
        <v>258</v>
      </c>
      <c r="J44" s="33" t="n"/>
      <c r="K44" s="64" t="n"/>
      <c r="L44" s="34" t="inlineStr">
        <is>
          <t>pintolux</t>
        </is>
      </c>
      <c r="M44" s="67" t="n">
        <v>43</v>
      </c>
      <c r="N44" s="65" t="n"/>
      <c r="O44" s="66" t="n"/>
      <c r="P44" s="66" t="n"/>
    </row>
    <row r="45" ht="34.35" customHeight="1">
      <c r="A45" s="28" t="n">
        <v>44</v>
      </c>
      <c r="B45" s="29" t="inlineStr">
        <is>
          <t>RODILLO PARA PINTAR SUPERFICIES RUGOSAS, C/6 PIEZAS DE 225 X 19 MM +/- 5%.</t>
        </is>
      </c>
      <c r="C45" s="30" t="n">
        <v>1</v>
      </c>
      <c r="D45" s="30" t="inlineStr">
        <is>
          <t>PAQUETE</t>
        </is>
      </c>
      <c r="E45" s="19" t="inlineStr">
        <is>
          <t>MEXICO</t>
        </is>
      </c>
      <c r="F45" s="28" t="n">
        <v>100</v>
      </c>
      <c r="G45" s="19" t="inlineStr">
        <is>
          <t>PINTOLUX</t>
        </is>
      </c>
      <c r="H45" s="31" t="inlineStr">
        <is>
          <t>MSPPLX19+FADPLX29</t>
        </is>
      </c>
      <c r="I45" s="63" t="n">
        <v>264</v>
      </c>
      <c r="J45" s="33" t="n"/>
      <c r="K45" s="64" t="n"/>
      <c r="L45" s="34" t="inlineStr">
        <is>
          <t>pintolux</t>
        </is>
      </c>
      <c r="M45" s="64" t="n"/>
      <c r="N45" s="65" t="n"/>
      <c r="O45" s="66" t="n"/>
      <c r="P45" s="66" t="n"/>
    </row>
    <row r="46">
      <c r="A46" s="28" t="n">
        <v>45</v>
      </c>
      <c r="B46" s="29" t="inlineStr">
        <is>
          <t>BROCHA DE 2" CERDA NATURAL C/12</t>
        </is>
      </c>
      <c r="C46" s="30" t="n">
        <v>1</v>
      </c>
      <c r="D46" s="30" t="inlineStr">
        <is>
          <t>CAJA</t>
        </is>
      </c>
      <c r="E46" s="19" t="inlineStr">
        <is>
          <t>MEXICO</t>
        </is>
      </c>
      <c r="F46" s="28" t="n">
        <v>100</v>
      </c>
      <c r="G46" s="19" t="inlineStr">
        <is>
          <t>PINTOLUX</t>
        </is>
      </c>
      <c r="H46" s="31" t="inlineStr">
        <is>
          <t>BDPLX40</t>
        </is>
      </c>
      <c r="I46" s="63" t="n">
        <v>108</v>
      </c>
      <c r="J46" s="33" t="n"/>
      <c r="K46" s="64" t="n"/>
      <c r="L46" s="34" t="inlineStr">
        <is>
          <t>pintolux</t>
        </is>
      </c>
      <c r="M46" s="68" t="n"/>
      <c r="N46" s="65" t="n"/>
      <c r="O46" s="66" t="n"/>
      <c r="P46" s="66" t="n"/>
    </row>
    <row r="47">
      <c r="A47" s="28" t="n">
        <v>46</v>
      </c>
      <c r="B47" s="29" t="inlineStr">
        <is>
          <t>BROCHA DE 4" CERDA NATURAL C/12</t>
        </is>
      </c>
      <c r="C47" s="30" t="n">
        <v>1</v>
      </c>
      <c r="D47" s="30" t="inlineStr">
        <is>
          <t>CAJA</t>
        </is>
      </c>
      <c r="E47" s="19" t="inlineStr">
        <is>
          <t>MEXICO</t>
        </is>
      </c>
      <c r="F47" s="28" t="n">
        <v>100</v>
      </c>
      <c r="G47" s="19" t="inlineStr">
        <is>
          <t>PINTOLUX</t>
        </is>
      </c>
      <c r="H47" s="31" t="inlineStr">
        <is>
          <t>BDPLX40</t>
        </is>
      </c>
      <c r="I47" s="63" t="n">
        <v>240</v>
      </c>
      <c r="J47" s="33" t="n"/>
      <c r="K47" s="64" t="n"/>
      <c r="L47" s="34" t="inlineStr">
        <is>
          <t>pintolux</t>
        </is>
      </c>
      <c r="M47" s="48" t="n">
        <v>44</v>
      </c>
      <c r="N47" s="65" t="n"/>
      <c r="O47" s="66" t="n"/>
      <c r="P47" s="66" t="n"/>
    </row>
    <row r="48">
      <c r="A48" s="28" t="n">
        <v>47</v>
      </c>
      <c r="B48" s="29" t="inlineStr">
        <is>
          <t>CUERDA (PIOLA DE NYLON, SEGÚN MUESTRA) DE 5 A 6 MM DE DIÁMETRO LARGO 100 M.</t>
        </is>
      </c>
      <c r="C48" s="30" t="n">
        <v>1</v>
      </c>
      <c r="D48" s="30" t="inlineStr">
        <is>
          <t>ROLLO</t>
        </is>
      </c>
      <c r="E48" s="19" t="inlineStr">
        <is>
          <t>MEXICO</t>
        </is>
      </c>
      <c r="F48" s="28" t="n">
        <v>100</v>
      </c>
      <c r="G48" s="19" t="inlineStr">
        <is>
          <t>FIERO</t>
        </is>
      </c>
      <c r="H48" s="31" t="n">
        <v>49753</v>
      </c>
      <c r="I48" s="63" t="n">
        <v>426</v>
      </c>
      <c r="J48" s="33" t="n"/>
      <c r="K48" s="64" t="n"/>
      <c r="L48" s="34" t="inlineStr">
        <is>
          <t>fix ferreterias</t>
        </is>
      </c>
      <c r="M48" s="48" t="n"/>
      <c r="N48" s="65" t="n"/>
      <c r="O48" s="66" t="n"/>
      <c r="P48" s="66" t="n">
        <v>426</v>
      </c>
      <c r="Q48" s="6" t="inlineStr">
        <is>
          <t>https://www.fixferreterias.com/piola-de-poliester-diamante-de-5-mm-1-kg-fiero.html</t>
        </is>
      </c>
    </row>
    <row r="49">
      <c r="A49" s="28" t="n">
        <v>48</v>
      </c>
      <c r="B49" s="29" t="inlineStr">
        <is>
          <t>MANGUERA FLEXIBLE PARA LAVABO DE 1/2’’ DE 40 CMS DE LARGO</t>
        </is>
      </c>
      <c r="C49" s="30" t="n">
        <v>1</v>
      </c>
      <c r="D49" s="30" t="inlineStr">
        <is>
          <t>PIEZA</t>
        </is>
      </c>
      <c r="E49" s="19" t="inlineStr">
        <is>
          <t>MEXICO</t>
        </is>
      </c>
      <c r="F49" s="28" t="n">
        <v>100</v>
      </c>
      <c r="G49" s="19" t="inlineStr">
        <is>
          <t>FOSET</t>
        </is>
      </c>
      <c r="H49" s="31" t="inlineStr">
        <is>
          <t>FLA-40P</t>
        </is>
      </c>
      <c r="I49" s="63" t="n">
        <v>29</v>
      </c>
      <c r="J49" s="33" t="n"/>
      <c r="K49" s="64" t="n"/>
      <c r="L49" s="34" t="inlineStr">
        <is>
          <t>fix ferreterias</t>
        </is>
      </c>
      <c r="M49" s="48" t="n"/>
      <c r="N49" s="65" t="n"/>
      <c r="O49" s="66" t="n"/>
      <c r="P49" s="66" t="n">
        <v>29</v>
      </c>
      <c r="Q49" s="6" t="inlineStr">
        <is>
          <t>https://www.fixferreterias.com/manguera-flexible-para-lavabo-40-cm-aluminio-foset-basic.html</t>
        </is>
      </c>
    </row>
    <row r="50">
      <c r="A50" s="28" t="n">
        <v>49</v>
      </c>
      <c r="B50" s="29" t="inlineStr">
        <is>
          <t>MANGUERA FLEXIBLE PARA WC DE 1/2’’ X 7/8’’ DE 35 CMS DE LARGO</t>
        </is>
      </c>
      <c r="C50" s="30" t="n">
        <v>1</v>
      </c>
      <c r="D50" s="30" t="inlineStr">
        <is>
          <t>PIEZA</t>
        </is>
      </c>
      <c r="E50" s="19" t="inlineStr">
        <is>
          <t>MEXICO</t>
        </is>
      </c>
      <c r="F50" s="28" t="n">
        <v>100</v>
      </c>
      <c r="G50" s="19" t="inlineStr">
        <is>
          <t>FOSET</t>
        </is>
      </c>
      <c r="H50" s="31" t="inlineStr">
        <is>
          <t>FWC-P35</t>
        </is>
      </c>
      <c r="I50" s="63" t="n">
        <v>62</v>
      </c>
      <c r="J50" s="33" t="n"/>
      <c r="K50" s="64" t="n"/>
      <c r="L50" s="34" t="inlineStr">
        <is>
          <t>fix ferreterias</t>
        </is>
      </c>
      <c r="M50" s="48" t="n"/>
      <c r="N50" s="65" t="n"/>
      <c r="O50" s="66" t="n"/>
      <c r="P50" s="66" t="n">
        <v>62</v>
      </c>
      <c r="Q50" s="6" t="inlineStr">
        <is>
          <t>https://www.fixferreterias.com/manguera-hule-35cm-aluminio-conector-plastico-usos.html</t>
        </is>
      </c>
    </row>
    <row r="51">
      <c r="A51" s="28" t="n">
        <v>50</v>
      </c>
      <c r="B51" s="29" t="inlineStr">
        <is>
          <t>MADEJA DE RAFIA</t>
        </is>
      </c>
      <c r="C51" s="30" t="n">
        <v>1</v>
      </c>
      <c r="D51" s="30" t="inlineStr">
        <is>
          <t>KILO</t>
        </is>
      </c>
      <c r="E51" s="19" t="inlineStr">
        <is>
          <t>MEXICO</t>
        </is>
      </c>
      <c r="F51" s="28" t="n">
        <v>100</v>
      </c>
      <c r="G51" s="19" t="inlineStr">
        <is>
          <t xml:space="preserve">NACIONAL </t>
        </is>
      </c>
      <c r="H51" s="31" t="n"/>
      <c r="I51" s="63" t="n">
        <v>160</v>
      </c>
      <c r="J51" s="33" t="n"/>
      <c r="K51" s="64" t="n"/>
      <c r="L51" s="34" t="inlineStr">
        <is>
          <t>mercado libre</t>
        </is>
      </c>
      <c r="M51" s="48" t="n"/>
      <c r="N51" s="65" t="n"/>
      <c r="O51" s="66" t="n"/>
      <c r="P51" s="66" t="n">
        <v>160</v>
      </c>
      <c r="Q51" s="6" t="inlineStr">
        <is>
          <t>https://www.mercadolibre.com.mx/rafia-de-polipropileno-blanca-surtek-para-amarres/p/MLM25544609?pdp_filters=item_id%3AMLM2659168282&amp;from=gshop&amp;matt_tool=17936909&amp;matt_word=&amp;matt_source=google&amp;matt_campaign_id=23468832403&amp;matt_ad_group_id=190396546686&amp;matt_match_type=&amp;matt_network=g&amp;matt_device=c&amp;matt_creative=793026283434&amp;matt_keyword=&amp;matt_ad_position=&amp;matt_ad_type=pla&amp;matt_merchant_id=735123861&amp;matt_product_id=MLM25544609-product&amp;matt_product_partition_id=2485195282217&amp;matt_target_id=pla-2485195282217&amp;cq_src=google_ads&amp;cq_cmp=23468832403&amp;cq_net=g&amp;cq_plt=gp&amp;cq_med=pla&amp;gad_source=1&amp;gad_campaignid=23468832403&amp;gbraid=0AAAAAoTLPrI58688FyaCXATzyq5hr63qB&amp;gclid=Cj0KCQjwg5zTBhCLARIsAP2AFU6LotZ5Bu2WjttR7orWjzLuPaX6070pTVn9zeB4ncEO57QSJ1g10I8aAgwWEALw_wcB</t>
        </is>
      </c>
    </row>
    <row r="52">
      <c r="A52" s="28" t="n">
        <v>51</v>
      </c>
      <c r="B52" s="29" t="inlineStr">
        <is>
          <t>COSTAL DE RAFIA DE 45 X 75 CM  C/10</t>
        </is>
      </c>
      <c r="C52" s="30" t="n">
        <v>1</v>
      </c>
      <c r="D52" s="30" t="inlineStr">
        <is>
          <t>PAQUETE</t>
        </is>
      </c>
      <c r="E52" s="19" t="inlineStr">
        <is>
          <t>MEXICO</t>
        </is>
      </c>
      <c r="F52" s="28" t="n">
        <v>100</v>
      </c>
      <c r="G52" s="19" t="inlineStr">
        <is>
          <t xml:space="preserve">NACIONAL </t>
        </is>
      </c>
      <c r="H52" s="31" t="n"/>
      <c r="I52" s="66" t="n">
        <v>70</v>
      </c>
      <c r="J52" s="33" t="n"/>
      <c r="K52" s="64" t="n"/>
      <c r="L52" s="34" t="inlineStr">
        <is>
          <t>tools</t>
        </is>
      </c>
      <c r="M52" s="48" t="n"/>
      <c r="N52" s="65" t="n"/>
      <c r="O52" s="66" t="n">
        <v>70</v>
      </c>
      <c r="P52" s="66" t="n"/>
    </row>
    <row r="53" ht="38.25" customHeight="1">
      <c r="A53" s="28" t="n">
        <v>52</v>
      </c>
      <c r="B53" s="29" t="inlineStr">
        <is>
          <t xml:space="preserve">CEMENTO PLÁSTICO (4 LTS) CEMENTO ASFALTICO QUE CONSISTE EN PASTA DE ALTA VISCOSIDAD Y ASFALTOS REFINADOS CON ALTO CONTENIDO DE FIBRAS, RELLENOS MINERALES DISPERSOS EN UN SOLVENTE DE RÁPIDA EVAPORACIÓN Y REFORZADO CON POLIETILENO </t>
        </is>
      </c>
      <c r="C53" s="30" t="n">
        <v>1</v>
      </c>
      <c r="D53" s="30" t="inlineStr">
        <is>
          <t>GALÓN</t>
        </is>
      </c>
      <c r="E53" s="19" t="inlineStr">
        <is>
          <t>MEXICO</t>
        </is>
      </c>
      <c r="F53" s="28" t="n">
        <v>100</v>
      </c>
      <c r="G53" s="19" t="inlineStr">
        <is>
          <t>COMEX</t>
        </is>
      </c>
      <c r="H53" s="31" t="n"/>
      <c r="I53" s="63" t="n">
        <v>1446.6</v>
      </c>
      <c r="J53" s="33" t="n"/>
      <c r="K53" s="64" t="n"/>
      <c r="L53" s="34" t="inlineStr">
        <is>
          <t>comex</t>
        </is>
      </c>
      <c r="M53" s="48" t="n"/>
      <c r="N53" s="65" t="n"/>
      <c r="O53" s="66" t="n"/>
      <c r="P53" s="66" t="n"/>
    </row>
    <row r="54">
      <c r="A54" s="28" t="n">
        <v>53</v>
      </c>
      <c r="B54" s="29" t="inlineStr">
        <is>
          <t>CEMENTO PLÁSTICO  PARA REPARAR GRIETAS EN LOSAS</t>
        </is>
      </c>
      <c r="C54" s="30" t="n">
        <v>1</v>
      </c>
      <c r="D54" s="30" t="inlineStr">
        <is>
          <t>GALÓN</t>
        </is>
      </c>
      <c r="E54" s="19" t="inlineStr">
        <is>
          <t>MEXICO</t>
        </is>
      </c>
      <c r="F54" s="28" t="n">
        <v>100</v>
      </c>
      <c r="G54" s="19" t="inlineStr">
        <is>
          <t>COMEX</t>
        </is>
      </c>
      <c r="H54" s="31" t="n"/>
      <c r="I54" s="63" t="n">
        <v>1446.6</v>
      </c>
      <c r="J54" s="33" t="n"/>
      <c r="K54" s="64" t="n"/>
      <c r="L54" s="34" t="inlineStr">
        <is>
          <t>comex</t>
        </is>
      </c>
      <c r="M54" s="48" t="n"/>
      <c r="N54" s="65" t="n"/>
      <c r="O54" s="66" t="n"/>
      <c r="P54" s="66" t="n"/>
    </row>
    <row r="55">
      <c r="A55" s="28" t="n">
        <v>54</v>
      </c>
      <c r="B55" s="29" t="inlineStr">
        <is>
          <t>JUNTA O CUELLO DE CERA (PARA TAZA DE BAÑO CAJA C/10 PIEZAS)</t>
        </is>
      </c>
      <c r="C55" s="30" t="n">
        <v>1</v>
      </c>
      <c r="D55" s="30" t="inlineStr">
        <is>
          <t>CAJA</t>
        </is>
      </c>
      <c r="E55" s="19" t="inlineStr">
        <is>
          <t>MEXICO</t>
        </is>
      </c>
      <c r="F55" s="28" t="n">
        <v>100</v>
      </c>
      <c r="G55" s="40" t="inlineStr">
        <is>
          <t>TRUPER</t>
        </is>
      </c>
      <c r="H55" s="31" t="n">
        <v>49359</v>
      </c>
      <c r="I55" s="66" t="n">
        <v>460</v>
      </c>
      <c r="J55" s="33" t="n"/>
      <c r="K55" s="64" t="n"/>
      <c r="L55" s="34" t="inlineStr">
        <is>
          <t>tools</t>
        </is>
      </c>
      <c r="M55" s="48" t="n"/>
      <c r="N55" s="65" t="n"/>
      <c r="O55" s="66" t="n">
        <v>460</v>
      </c>
      <c r="P55" s="66" t="n"/>
    </row>
    <row r="56">
      <c r="A56" s="28" t="n">
        <v>55</v>
      </c>
      <c r="B56" s="29" t="inlineStr">
        <is>
          <t xml:space="preserve">JUNTA O CUELLO DE CERA (PARA TAZA DE BAÑO CON GUÍA, CAJA C/10 PIEZAS) </t>
        </is>
      </c>
      <c r="C56" s="30" t="n">
        <v>1</v>
      </c>
      <c r="D56" s="30" t="inlineStr">
        <is>
          <t>CAJA</t>
        </is>
      </c>
      <c r="E56" s="19" t="inlineStr">
        <is>
          <t>MEXICO</t>
        </is>
      </c>
      <c r="F56" s="28" t="n">
        <v>100</v>
      </c>
      <c r="G56" s="40" t="inlineStr">
        <is>
          <t>TRUPER</t>
        </is>
      </c>
      <c r="H56" s="31" t="n">
        <v>49358</v>
      </c>
      <c r="I56" s="66" t="n">
        <v>460</v>
      </c>
      <c r="J56" s="33" t="n"/>
      <c r="K56" s="64" t="n"/>
      <c r="L56" s="34" t="inlineStr">
        <is>
          <t>tools</t>
        </is>
      </c>
      <c r="M56" s="48" t="n"/>
      <c r="N56" s="65" t="n"/>
      <c r="O56" s="66" t="n">
        <v>460</v>
      </c>
      <c r="P56" s="66" t="n"/>
    </row>
    <row r="57">
      <c r="A57" s="28" t="n">
        <v>56</v>
      </c>
      <c r="B57" s="29" t="inlineStr">
        <is>
          <t>BASE COAT (GRIS  BULTO DE 22.7 KG)</t>
        </is>
      </c>
      <c r="C57" s="30" t="n">
        <v>1</v>
      </c>
      <c r="D57" s="30" t="inlineStr">
        <is>
          <t>BULTO</t>
        </is>
      </c>
      <c r="E57" s="19" t="inlineStr">
        <is>
          <t>MEXICO</t>
        </is>
      </c>
      <c r="F57" s="28" t="n">
        <v>100</v>
      </c>
      <c r="G57" s="19" t="inlineStr">
        <is>
          <t xml:space="preserve">NACIONAL </t>
        </is>
      </c>
      <c r="H57" s="31" t="n"/>
      <c r="I57" s="66" t="n">
        <v>693.35</v>
      </c>
      <c r="J57" s="33" t="n"/>
      <c r="K57" s="64" t="n"/>
      <c r="L57" s="34" t="inlineStr">
        <is>
          <t>tools</t>
        </is>
      </c>
      <c r="M57" s="48" t="n"/>
      <c r="N57" s="65" t="n"/>
      <c r="O57" s="66" t="n">
        <v>693.35</v>
      </c>
      <c r="P57" s="66" t="n"/>
    </row>
    <row r="58">
      <c r="A58" s="28" t="n">
        <v>57</v>
      </c>
      <c r="B58" s="29" t="inlineStr">
        <is>
          <t>RESANADOR O RELLENADOR DE JUNTAS COMPUESTO READY MIX DE 28 KILOS.</t>
        </is>
      </c>
      <c r="C58" s="30" t="n">
        <v>1</v>
      </c>
      <c r="D58" s="30" t="inlineStr">
        <is>
          <t>CUBETA</t>
        </is>
      </c>
      <c r="E58" s="19" t="inlineStr">
        <is>
          <t>MEXICO</t>
        </is>
      </c>
      <c r="F58" s="28" t="n">
        <v>100</v>
      </c>
      <c r="G58" s="19" t="inlineStr">
        <is>
          <t>READY MIX</t>
        </is>
      </c>
      <c r="H58" s="31" t="n"/>
      <c r="I58" s="66" t="n">
        <v>685.84</v>
      </c>
      <c r="J58" s="33" t="n"/>
      <c r="K58" s="64" t="n"/>
      <c r="L58" s="34" t="inlineStr">
        <is>
          <t>tools</t>
        </is>
      </c>
      <c r="M58" s="48" t="n"/>
      <c r="N58" s="65" t="n"/>
      <c r="O58" s="66" t="n">
        <v>685.84</v>
      </c>
      <c r="P58" s="66" t="n"/>
    </row>
    <row r="59">
      <c r="A59" s="28" t="n">
        <v>58</v>
      </c>
      <c r="B59" s="29" t="inlineStr">
        <is>
          <t>SELLADOR ACRÍLICO (ESPUMA EXPANSIVA DE 500 ML.) CAJA CON 6 PIEZAS.</t>
        </is>
      </c>
      <c r="C59" s="30" t="n">
        <v>1</v>
      </c>
      <c r="D59" s="30" t="inlineStr">
        <is>
          <t>CAJA</t>
        </is>
      </c>
      <c r="E59" s="19" t="inlineStr">
        <is>
          <t>MEXICO</t>
        </is>
      </c>
      <c r="F59" s="28" t="n">
        <v>100</v>
      </c>
      <c r="G59" s="19" t="inlineStr">
        <is>
          <t>SAYER LACK</t>
        </is>
      </c>
      <c r="H59" s="19" t="inlineStr">
        <is>
          <t>HKL100403</t>
        </is>
      </c>
      <c r="I59" s="66" t="n">
        <v>1749.18</v>
      </c>
      <c r="J59" s="33" t="n"/>
      <c r="K59" s="64" t="n"/>
      <c r="L59" s="34" t="inlineStr">
        <is>
          <t>sayer</t>
        </is>
      </c>
      <c r="M59" s="48" t="n"/>
      <c r="N59" s="65" t="n">
        <v>758.17</v>
      </c>
      <c r="O59" s="66" t="n"/>
      <c r="P59" s="66" t="n"/>
    </row>
    <row r="60">
      <c r="A60" s="28" t="n">
        <v>59</v>
      </c>
      <c r="B60" s="29" t="inlineStr">
        <is>
          <t>SELLADOR (VINIL ACRÍLICO 5X1, CUBETA CON 4 L)</t>
        </is>
      </c>
      <c r="C60" s="30" t="n">
        <v>1</v>
      </c>
      <c r="D60" s="30" t="inlineStr">
        <is>
          <t>CUBETA</t>
        </is>
      </c>
      <c r="E60" s="19" t="inlineStr">
        <is>
          <t>MEXICO</t>
        </is>
      </c>
      <c r="F60" s="28" t="n">
        <v>100</v>
      </c>
      <c r="G60" s="19" t="inlineStr">
        <is>
          <t>SAYER LACK</t>
        </is>
      </c>
      <c r="H60" s="19" t="inlineStr">
        <is>
          <t>VS-1050</t>
        </is>
      </c>
      <c r="I60" s="66" t="n">
        <v>2131.26</v>
      </c>
      <c r="J60" s="33" t="n"/>
      <c r="K60" s="64" t="n"/>
      <c r="L60" s="34" t="inlineStr">
        <is>
          <t>sayer</t>
        </is>
      </c>
      <c r="M60" s="48" t="n"/>
      <c r="N60" s="65" t="n">
        <v>1749.18</v>
      </c>
      <c r="O60" s="66" t="n"/>
      <c r="P60" s="66" t="n"/>
    </row>
    <row r="61">
      <c r="A61" s="28" t="n">
        <v>60</v>
      </c>
      <c r="B61" s="29" t="inlineStr">
        <is>
          <t>SELLADOR PARA MADERA (NITROCELULOSA CUBETA 4 LITROS)</t>
        </is>
      </c>
      <c r="C61" s="30" t="n">
        <v>1</v>
      </c>
      <c r="D61" s="30" t="inlineStr">
        <is>
          <t>CUBETA</t>
        </is>
      </c>
      <c r="E61" s="19" t="inlineStr">
        <is>
          <t>MEXICO</t>
        </is>
      </c>
      <c r="F61" s="28" t="n">
        <v>100</v>
      </c>
      <c r="G61" s="19" t="inlineStr">
        <is>
          <t>SAYER LACK</t>
        </is>
      </c>
      <c r="H61" s="19" t="inlineStr">
        <is>
          <t>NS-0270</t>
        </is>
      </c>
      <c r="I61" s="66" t="n">
        <v>626.4</v>
      </c>
      <c r="J61" s="33" t="n"/>
      <c r="K61" s="64" t="n"/>
      <c r="L61" s="34" t="inlineStr">
        <is>
          <t>sayer</t>
        </is>
      </c>
      <c r="M61" s="48" t="n"/>
      <c r="N61" s="65" t="n">
        <v>2131.26</v>
      </c>
      <c r="O61" s="66" t="n"/>
      <c r="P61" s="66" t="n"/>
    </row>
    <row r="62">
      <c r="A62" s="28" t="n">
        <v>61</v>
      </c>
      <c r="B62" s="29" t="inlineStr">
        <is>
          <t>TINTA AL ACEITE CAOBA DE 1 L (CAOBA CLÁSICO)</t>
        </is>
      </c>
      <c r="C62" s="30" t="n">
        <v>1</v>
      </c>
      <c r="D62" s="30" t="inlineStr">
        <is>
          <t>PIEZA</t>
        </is>
      </c>
      <c r="E62" s="19" t="inlineStr">
        <is>
          <t>MEXICO</t>
        </is>
      </c>
      <c r="F62" s="28" t="n">
        <v>100</v>
      </c>
      <c r="G62" s="19" t="inlineStr">
        <is>
          <t>SAYER LACK</t>
        </is>
      </c>
      <c r="H62" s="19" t="inlineStr">
        <is>
          <t>TS-6119</t>
        </is>
      </c>
      <c r="I62" s="66" t="n">
        <v>223.99</v>
      </c>
      <c r="J62" s="33" t="n"/>
      <c r="K62" s="64" t="n"/>
      <c r="L62" s="34" t="inlineStr">
        <is>
          <t>sayer</t>
        </is>
      </c>
      <c r="M62" s="48" t="n">
        <v>885</v>
      </c>
      <c r="N62" s="65" t="n">
        <v>626.4</v>
      </c>
      <c r="O62" s="66" t="n"/>
      <c r="P62" s="66" t="n"/>
    </row>
    <row r="63">
      <c r="A63" s="28" t="n">
        <v>62</v>
      </c>
      <c r="B63" s="29" t="inlineStr">
        <is>
          <t>TINTA AL ACEITE NOGAL DE 1 L.(NOGAL CLÁSICO)</t>
        </is>
      </c>
      <c r="C63" s="30" t="n">
        <v>1</v>
      </c>
      <c r="D63" s="30" t="inlineStr">
        <is>
          <t>PIEZA</t>
        </is>
      </c>
      <c r="E63" s="19" t="inlineStr">
        <is>
          <t>MEXICO</t>
        </is>
      </c>
      <c r="F63" s="28" t="n">
        <v>100</v>
      </c>
      <c r="G63" s="19" t="inlineStr">
        <is>
          <t>SAYER LACK</t>
        </is>
      </c>
      <c r="H63" s="31" t="inlineStr">
        <is>
          <t>TS-6115</t>
        </is>
      </c>
      <c r="I63" s="66" t="n">
        <v>223.99</v>
      </c>
      <c r="J63" s="33" t="n"/>
      <c r="K63" s="64" t="n"/>
      <c r="L63" s="34" t="inlineStr">
        <is>
          <t>sayer</t>
        </is>
      </c>
      <c r="M63" s="48" t="n">
        <v>543</v>
      </c>
      <c r="N63" s="65" t="n"/>
      <c r="O63" s="66" t="n"/>
      <c r="P63" s="66" t="n"/>
    </row>
    <row r="64">
      <c r="A64" s="28" t="n">
        <v>63</v>
      </c>
      <c r="B64" s="29" t="inlineStr">
        <is>
          <t>CINTA DE PAPEL PARA JUNTAS (PERFACINTA CAJA C/20 ROLLOS)</t>
        </is>
      </c>
      <c r="C64" s="30" t="n">
        <v>1</v>
      </c>
      <c r="D64" s="30" t="inlineStr">
        <is>
          <t>CAJA</t>
        </is>
      </c>
      <c r="E64" s="19" t="inlineStr">
        <is>
          <t>MEXICO</t>
        </is>
      </c>
      <c r="F64" s="28" t="n">
        <v>100</v>
      </c>
      <c r="G64" s="19" t="inlineStr">
        <is>
          <t xml:space="preserve">PANEL REY </t>
        </is>
      </c>
      <c r="H64" s="31" t="n"/>
      <c r="I64" s="66" t="n">
        <v>2588.2</v>
      </c>
      <c r="J64" s="33" t="n"/>
      <c r="K64" s="64" t="n"/>
      <c r="L64" s="34" t="inlineStr">
        <is>
          <t>tools</t>
        </is>
      </c>
      <c r="M64" s="48" t="n"/>
      <c r="N64" s="65" t="n"/>
      <c r="O64" s="66" t="n">
        <v>2588.2</v>
      </c>
      <c r="P64" s="66" t="n"/>
    </row>
    <row r="65">
      <c r="A65" s="28" t="n">
        <v>64</v>
      </c>
      <c r="B65" s="29" t="inlineStr">
        <is>
          <t>CINTURÓN PLÁSTICO (20 CM) PAQUETE C/100</t>
        </is>
      </c>
      <c r="C65" s="30" t="n">
        <v>1</v>
      </c>
      <c r="D65" s="30" t="inlineStr">
        <is>
          <t>PAQUETE</t>
        </is>
      </c>
      <c r="E65" s="19" t="inlineStr">
        <is>
          <t>MEXICO</t>
        </is>
      </c>
      <c r="F65" s="28" t="n">
        <v>100</v>
      </c>
      <c r="G65" s="19" t="inlineStr">
        <is>
          <t>SURTEK</t>
        </is>
      </c>
      <c r="H65" s="31" t="n"/>
      <c r="I65" s="66" t="n">
        <v>26</v>
      </c>
      <c r="J65" s="33" t="n"/>
      <c r="K65" s="64" t="n"/>
      <c r="L65" s="34" t="inlineStr">
        <is>
          <t>tools</t>
        </is>
      </c>
      <c r="M65" s="48" t="n"/>
      <c r="N65" s="65" t="n"/>
      <c r="O65" s="66" t="n">
        <v>26</v>
      </c>
      <c r="P65" s="66" t="n"/>
    </row>
    <row r="66">
      <c r="A66" s="28" t="n">
        <v>65</v>
      </c>
      <c r="B66" s="29" t="inlineStr">
        <is>
          <t>CINTURÓN PLÁSTICO (35 CM) PAQUETE C/100</t>
        </is>
      </c>
      <c r="C66" s="30" t="n">
        <v>1</v>
      </c>
      <c r="D66" s="30" t="inlineStr">
        <is>
          <t>PAQUETE</t>
        </is>
      </c>
      <c r="E66" s="19" t="inlineStr">
        <is>
          <t>MEXICO</t>
        </is>
      </c>
      <c r="F66" s="28" t="n">
        <v>100</v>
      </c>
      <c r="G66" s="19" t="inlineStr">
        <is>
          <t>SURTEK</t>
        </is>
      </c>
      <c r="H66" s="31" t="n"/>
      <c r="I66" s="66" t="n">
        <v>26</v>
      </c>
      <c r="J66" s="33" t="n"/>
      <c r="K66" s="64" t="n"/>
      <c r="L66" s="34" t="inlineStr">
        <is>
          <t>tools</t>
        </is>
      </c>
      <c r="M66" s="48" t="n"/>
      <c r="N66" s="65" t="n"/>
      <c r="O66" s="66" t="n">
        <v>26</v>
      </c>
      <c r="P66" s="66" t="n"/>
    </row>
    <row r="67">
      <c r="A67" s="28" t="n">
        <v>66</v>
      </c>
      <c r="B67" s="29" t="inlineStr">
        <is>
          <t>ESTOPA BLANCA</t>
        </is>
      </c>
      <c r="C67" s="30" t="n">
        <v>1</v>
      </c>
      <c r="D67" s="30" t="inlineStr">
        <is>
          <t>KILO</t>
        </is>
      </c>
      <c r="E67" s="19" t="inlineStr">
        <is>
          <t>MEXICO</t>
        </is>
      </c>
      <c r="F67" s="28" t="n">
        <v>100</v>
      </c>
      <c r="G67" s="19" t="inlineStr">
        <is>
          <t>SIN MARCA</t>
        </is>
      </c>
      <c r="H67" s="31" t="n"/>
      <c r="I67" s="66" t="n">
        <v>50.86</v>
      </c>
      <c r="J67" s="33" t="n"/>
      <c r="K67" s="64" t="n"/>
      <c r="L67" s="34" t="inlineStr">
        <is>
          <t>tools</t>
        </is>
      </c>
      <c r="M67" s="48" t="n"/>
      <c r="N67" s="65" t="n"/>
      <c r="O67" s="66" t="n">
        <v>50.86</v>
      </c>
      <c r="P67" s="66" t="n"/>
    </row>
    <row r="68">
      <c r="A68" s="28" t="n">
        <v>67</v>
      </c>
      <c r="B68" s="29" t="inlineStr">
        <is>
          <t>CARTUCHO SECO PARA MINGITORIO ECOLÓGICO  DE 2” ESTÁNDAR</t>
        </is>
      </c>
      <c r="C68" s="30" t="n">
        <v>1</v>
      </c>
      <c r="D68" s="30" t="inlineStr">
        <is>
          <t>PIEZA</t>
        </is>
      </c>
      <c r="E68" s="19" t="inlineStr">
        <is>
          <t>MEXICO</t>
        </is>
      </c>
      <c r="F68" s="28" t="n">
        <v>100</v>
      </c>
      <c r="G68" s="19" t="inlineStr">
        <is>
          <t>GENERICO</t>
        </is>
      </c>
      <c r="H68" s="31" t="n"/>
      <c r="I68" s="63" t="n">
        <v>492</v>
      </c>
      <c r="J68" s="33" t="n"/>
      <c r="K68" s="64" t="n"/>
      <c r="L68" s="34" t="inlineStr">
        <is>
          <t>intenet</t>
        </is>
      </c>
      <c r="M68" s="48" t="n"/>
      <c r="N68" s="65" t="n"/>
      <c r="O68" s="66" t="n"/>
      <c r="P68" s="63" t="n">
        <v>492</v>
      </c>
    </row>
    <row r="69">
      <c r="A69" s="28" t="n">
        <v>68</v>
      </c>
      <c r="B69" s="29" t="inlineStr">
        <is>
          <t>CARTUCHO SECO PARA MINGITORIO ECOLÓGICO  DE 4” ESTÁNDAR</t>
        </is>
      </c>
      <c r="C69" s="30" t="n">
        <v>1</v>
      </c>
      <c r="D69" s="30" t="inlineStr">
        <is>
          <t>PIEZA</t>
        </is>
      </c>
      <c r="E69" s="19" t="inlineStr">
        <is>
          <t>MEXICO</t>
        </is>
      </c>
      <c r="F69" s="28" t="n">
        <v>100</v>
      </c>
      <c r="G69" s="19" t="inlineStr">
        <is>
          <t>GENERICO</t>
        </is>
      </c>
      <c r="H69" s="31" t="n"/>
      <c r="I69" s="63" t="n">
        <v>534</v>
      </c>
      <c r="J69" s="33" t="n"/>
      <c r="K69" s="64" t="n"/>
      <c r="L69" s="34" t="inlineStr">
        <is>
          <t>intenet</t>
        </is>
      </c>
      <c r="M69" s="48" t="n"/>
      <c r="N69" s="65" t="n"/>
      <c r="O69" s="66" t="n"/>
      <c r="P69" s="63" t="n">
        <v>534</v>
      </c>
    </row>
    <row r="70">
      <c r="A70" s="28" t="n">
        <v>69</v>
      </c>
      <c r="B70" s="29" t="inlineStr">
        <is>
          <t>PASTA PARA SOLDAR DE 100 g (BOLSA C/9 PIEZAS)</t>
        </is>
      </c>
      <c r="C70" s="30" t="n">
        <v>1</v>
      </c>
      <c r="D70" s="30" t="inlineStr">
        <is>
          <t>BOLSA</t>
        </is>
      </c>
      <c r="E70" s="19" t="inlineStr">
        <is>
          <t>MEXICO</t>
        </is>
      </c>
      <c r="F70" s="28" t="n">
        <v>100</v>
      </c>
      <c r="G70" s="19" t="inlineStr">
        <is>
          <t>TRUPER</t>
        </is>
      </c>
      <c r="H70" s="31" t="n"/>
      <c r="I70" s="63" t="n">
        <v>492</v>
      </c>
      <c r="J70" s="33" t="n"/>
      <c r="K70" s="64" t="n"/>
      <c r="L70" s="34" t="inlineStr">
        <is>
          <t>intenet</t>
        </is>
      </c>
      <c r="M70" s="48" t="n"/>
      <c r="N70" s="65" t="n"/>
      <c r="O70" s="66" t="n"/>
      <c r="P70" s="63" t="n">
        <v>492</v>
      </c>
    </row>
    <row r="71">
      <c r="A71" s="28" t="n">
        <v>70</v>
      </c>
      <c r="B71" s="29" t="inlineStr">
        <is>
          <t>TAQUETE DE PLÁSTICO DE ¼” (CAJA CON 100 PIEZAS)</t>
        </is>
      </c>
      <c r="C71" s="30" t="n">
        <v>1</v>
      </c>
      <c r="D71" s="30" t="inlineStr">
        <is>
          <t>CAJA</t>
        </is>
      </c>
      <c r="E71" s="19" t="inlineStr">
        <is>
          <t>MEXICO</t>
        </is>
      </c>
      <c r="F71" s="28" t="n">
        <v>100</v>
      </c>
      <c r="G71" s="19" t="inlineStr">
        <is>
          <t>ARGOS</t>
        </is>
      </c>
      <c r="H71" s="31" t="n"/>
      <c r="I71" s="63" t="n">
        <v>18</v>
      </c>
      <c r="J71" s="33" t="n"/>
      <c r="K71" s="64" t="n"/>
      <c r="L71" s="34" t="inlineStr">
        <is>
          <t>intenet</t>
        </is>
      </c>
      <c r="M71" s="48" t="n"/>
      <c r="N71" s="65" t="n"/>
      <c r="O71" s="66" t="n"/>
      <c r="P71" s="63" t="n">
        <v>18</v>
      </c>
    </row>
    <row r="72">
      <c r="A72" s="28" t="n">
        <v>71</v>
      </c>
      <c r="B72" s="29" t="inlineStr">
        <is>
          <t>TAQUETE DE MARIPOSA DE 3/16”X 75 MM X 50 MM (CAJA CON 100 PIEZAS).</t>
        </is>
      </c>
      <c r="C72" s="30" t="n">
        <v>1</v>
      </c>
      <c r="D72" s="30" t="inlineStr">
        <is>
          <t>CAJA</t>
        </is>
      </c>
      <c r="E72" s="19" t="inlineStr">
        <is>
          <t>MEXICO</t>
        </is>
      </c>
      <c r="F72" s="28" t="n">
        <v>100</v>
      </c>
      <c r="G72" s="19" t="inlineStr">
        <is>
          <t>TRUPER</t>
        </is>
      </c>
      <c r="H72" s="31" t="n"/>
      <c r="I72" s="63" t="n">
        <v>522</v>
      </c>
      <c r="J72" s="33" t="n"/>
      <c r="K72" s="64" t="n"/>
      <c r="L72" s="34" t="inlineStr">
        <is>
          <t>intenet</t>
        </is>
      </c>
      <c r="M72" s="48" t="n"/>
      <c r="N72" s="65" t="n"/>
      <c r="O72" s="66" t="n"/>
      <c r="P72" s="63" t="n">
        <v>522</v>
      </c>
    </row>
    <row r="73">
      <c r="A73" s="28" t="n">
        <v>72</v>
      </c>
      <c r="B73" s="29" t="inlineStr">
        <is>
          <t>TAQUETE DE MARIPOSA DE 1/4” X 75 MM X 55 MM (CAJA CON 100 PIEZAS).</t>
        </is>
      </c>
      <c r="C73" s="30" t="n">
        <v>1</v>
      </c>
      <c r="D73" s="30" t="inlineStr">
        <is>
          <t>CAJA</t>
        </is>
      </c>
      <c r="E73" s="19" t="inlineStr">
        <is>
          <t>MEXICO</t>
        </is>
      </c>
      <c r="F73" s="28" t="n">
        <v>100</v>
      </c>
      <c r="G73" s="41" t="inlineStr">
        <is>
          <t>TRUPER</t>
        </is>
      </c>
      <c r="H73" s="31" t="n"/>
      <c r="I73" s="63" t="n">
        <v>672</v>
      </c>
      <c r="J73" s="33" t="n"/>
      <c r="K73" s="64" t="n"/>
      <c r="L73" s="34" t="inlineStr">
        <is>
          <t>intenet</t>
        </is>
      </c>
      <c r="M73" s="48" t="n"/>
      <c r="N73" s="65" t="n"/>
      <c r="O73" s="66" t="n"/>
      <c r="P73" s="63" t="n">
        <v>672</v>
      </c>
    </row>
    <row r="74">
      <c r="A74" s="28" t="n">
        <v>73</v>
      </c>
      <c r="B74" s="29" t="inlineStr">
        <is>
          <t>TAQUETE DE PLÁSTICO DE 1/2”, AUTO TALADRANTE COLA DE COCHINO (CAJA CON 100 PIEZAS)</t>
        </is>
      </c>
      <c r="C74" s="30" t="n">
        <v>1</v>
      </c>
      <c r="D74" s="30" t="inlineStr">
        <is>
          <t>CAJA</t>
        </is>
      </c>
      <c r="E74" s="19" t="inlineStr">
        <is>
          <t>MEXICO</t>
        </is>
      </c>
      <c r="F74" s="28" t="n">
        <v>100</v>
      </c>
      <c r="G74" s="41" t="inlineStr">
        <is>
          <t>TRUPER</t>
        </is>
      </c>
      <c r="H74" s="31" t="n"/>
      <c r="I74" s="63" t="n">
        <v>108</v>
      </c>
      <c r="J74" s="33" t="n"/>
      <c r="K74" s="64" t="n"/>
      <c r="L74" s="34" t="inlineStr">
        <is>
          <t>intenet</t>
        </is>
      </c>
      <c r="M74" s="48" t="n"/>
      <c r="N74" s="65" t="n"/>
      <c r="O74" s="66" t="n"/>
      <c r="P74" s="63" t="n">
        <v>108</v>
      </c>
    </row>
    <row r="75">
      <c r="A75" s="28" t="n">
        <v>74</v>
      </c>
      <c r="B75" s="29" t="inlineStr">
        <is>
          <t>TAQUETE DE EXPANSIÓN 5/8” (CAJA CON 25 PIEZAS)</t>
        </is>
      </c>
      <c r="C75" s="30" t="n">
        <v>1</v>
      </c>
      <c r="D75" s="30" t="inlineStr">
        <is>
          <t>CAJA</t>
        </is>
      </c>
      <c r="E75" s="19" t="inlineStr">
        <is>
          <t>MEXICO</t>
        </is>
      </c>
      <c r="F75" s="28" t="n">
        <v>100</v>
      </c>
      <c r="G75" s="41" t="inlineStr">
        <is>
          <t>TRUPER</t>
        </is>
      </c>
      <c r="H75" s="31" t="n"/>
      <c r="I75" s="63" t="n">
        <v>876</v>
      </c>
      <c r="J75" s="33" t="n"/>
      <c r="K75" s="68" t="n"/>
      <c r="L75" s="34" t="inlineStr">
        <is>
          <t>intenet</t>
        </is>
      </c>
      <c r="M75" s="48" t="n"/>
      <c r="N75" s="65" t="n"/>
      <c r="O75" s="66" t="n"/>
      <c r="P75" s="63" t="n">
        <v>876</v>
      </c>
    </row>
    <row r="76">
      <c r="H76" s="21" t="n"/>
      <c r="I76" s="22" t="n"/>
      <c r="M76" s="23" t="n"/>
      <c r="N76" s="69" t="n"/>
    </row>
    <row r="77">
      <c r="H77" s="21" t="n"/>
      <c r="M77" s="23" t="n"/>
    </row>
  </sheetData>
  <mergeCells count="2">
    <mergeCell ref="M44:M46"/>
    <mergeCell ref="K1:K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alcaldias mone</dc:creator>
  <dcterms:created xsi:type="dcterms:W3CDTF">2026-07-22T17:04:38Z</dcterms:created>
  <dcterms:modified xsi:type="dcterms:W3CDTF">2026-07-27T22:15:30Z</dcterms:modified>
  <cp:lastModifiedBy>YLIKA DEVELOPMENT</cp:lastModifiedBy>
</cp:coreProperties>
</file>